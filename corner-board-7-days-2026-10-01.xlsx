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reaks" sheetId="2" state="visible" r:id="rId2"/>
    <sheet name="Mismatches" sheetId="3" state="visible" r:id="rId3"/>
    <sheet name="Chase board" sheetId="4" state="visible" r:id="rId4"/>
    <sheet name="Perfect games" sheetId="5" state="visible" r:id="rId5"/>
  </sheets>
  <definedNames>
    <definedName name="_xlnm._FilterDatabase" localSheetId="1" hidden="1">'Streaks'!$A$1:$R$138</definedName>
    <definedName name="_xlnm._FilterDatabase" localSheetId="2" hidden="1">'Mismatches'!$A$1:$P$11</definedName>
    <definedName name="_xlnm._FilterDatabase" localSheetId="3" hidden="1">'Chase board'!$A$1:$Q$107</definedName>
    <definedName name="_xlnm._FilterDatabase" localSheetId="4" hidden="1">'Perfect games'!$A$1:$R$7</definedName>
  </definedNames>
  <calcPr calcId="124519" fullCalcOnLoad="1"/>
</workbook>
</file>

<file path=xl/styles.xml><?xml version="1.0" encoding="utf-8"?>
<styleSheet xmlns="http://schemas.openxmlformats.org/spreadsheetml/2006/main">
  <numFmts count="6">
    <numFmt numFmtId="164" formatCode="yyyy-mm-dd"/>
    <numFmt numFmtId="165" formatCode="ddd dd mmm"/>
    <numFmt numFmtId="166" formatCode="0.0"/>
    <numFmt numFmtId="167" formatCode="0.0%"/>
    <numFmt numFmtId="168" formatCode="0.0%;;-"/>
    <numFmt numFmtId="169" formatCode="0.0%;[Red]-0.0%;-"/>
  </numFmts>
  <fonts count="9">
    <font>
      <name val="Calibri"/>
      <family val="2"/>
      <color theme="1"/>
      <sz val="11"/>
      <scheme val="minor"/>
    </font>
    <font>
      <name val="Arial"/>
      <b val="1"/>
      <color rgb="00FFFFFF"/>
      <sz val="10"/>
    </font>
    <font>
      <name val="Arial"/>
      <sz val="10"/>
    </font>
    <font>
      <name val="Arial"/>
      <color rgb="000000FF"/>
      <sz val="10"/>
    </font>
    <font>
      <name val="Arial"/>
      <b val="1"/>
      <sz val="14"/>
    </font>
    <font>
      <name val="Arial"/>
      <b val="1"/>
      <sz val="10"/>
    </font>
    <font>
      <name val="Arial"/>
      <i val="1"/>
      <color rgb="00808080"/>
      <sz val="10"/>
    </font>
    <font>
      <name val="Arial"/>
      <b val="1"/>
      <sz val="11"/>
    </font>
    <font>
      <name val="Arial"/>
      <i val="1"/>
      <color rgb="00C00000"/>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4" fillId="0" borderId="0" pivotButton="0" quotePrefix="0" xfId="0"/>
    <xf numFmtId="0" fontId="5" fillId="0" borderId="0" pivotButton="0" quotePrefix="0" xfId="0"/>
    <xf numFmtId="0" fontId="2" fillId="0" borderId="0" pivotButton="0" quotePrefix="0" xfId="0"/>
    <xf numFmtId="1" fontId="3" fillId="0" borderId="0" pivotButton="0" quotePrefix="0" xfId="0"/>
    <xf numFmtId="0" fontId="6" fillId="0" borderId="0" pivotButton="0" quotePrefix="0" xfId="0"/>
    <xf numFmtId="167" fontId="3" fillId="0" borderId="0" pivotButton="0" quotePrefix="0" xfId="0"/>
    <xf numFmtId="0" fontId="7" fillId="0"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center" wrapText="1"/>
    </xf>
    <xf numFmtId="165" fontId="2" fillId="0" borderId="1" pivotButton="0" quotePrefix="0" xfId="0"/>
    <xf numFmtId="0" fontId="2" fillId="0" borderId="1" pivotButton="0" quotePrefix="0" xfId="0"/>
    <xf numFmtId="166" fontId="3" fillId="0" borderId="1" pivotButton="0" quotePrefix="0" xfId="0"/>
    <xf numFmtId="2" fontId="3" fillId="0" borderId="1" pivotButton="0" quotePrefix="0" xfId="0"/>
    <xf numFmtId="167" fontId="2" fillId="0" borderId="0" pivotButton="0" quotePrefix="0" xfId="0"/>
    <xf numFmtId="168" fontId="2" fillId="0" borderId="0" pivotButton="0" quotePrefix="0" xfId="0"/>
    <xf numFmtId="2" fontId="2" fillId="0" borderId="0" pivotButton="0" quotePrefix="0" xfId="0"/>
    <xf numFmtId="2" fontId="3" fillId="3" borderId="1" pivotButton="0" quotePrefix="0" xfId="0"/>
    <xf numFmtId="169" fontId="2" fillId="0" borderId="0" pivotButton="0" quotePrefix="0" xfId="0"/>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0" customWidth="1" min="1" max="1"/>
    <col width="96" customWidth="1" min="2" max="2"/>
  </cols>
  <sheetData>
    <row r="1">
      <c r="A1" s="1" t="inlineStr">
        <is>
          <t>Corner board — the next 7 days</t>
        </is>
      </c>
    </row>
    <row r="3">
      <c r="A3" s="2" t="inlineStr">
        <is>
          <t>Window</t>
        </is>
      </c>
      <c r="B3" s="3" t="inlineStr">
        <is>
          <t>2026-10-01 to 2026-10-08 inclusive (kick-off dates, 77 fixtures)</t>
        </is>
      </c>
    </row>
    <row r="4">
      <c r="A4" s="2" t="inlineStr">
        <is>
          <t>Built from</t>
        </is>
      </c>
      <c r="B4" s="3" t="inlineStr">
        <is>
          <t>corner-model-export.md — the site's own full data export</t>
        </is>
      </c>
    </row>
    <row r="5">
      <c r="A5" s="2" t="inlineStr">
        <is>
          <t>Export generated</t>
        </is>
      </c>
      <c r="B5" s="3" t="inlineStr">
        <is>
          <t>2026-10-01 09:57 UTC</t>
        </is>
      </c>
    </row>
    <row r="6">
      <c r="A6" s="2" t="inlineStr">
        <is>
          <t>Model dispersion (NB r)</t>
        </is>
      </c>
      <c r="B6" s="4" t="n">
        <v>11</v>
      </c>
      <c r="C6" s="5" t="inlineStr">
        <is>
          <t>← the model's own dispersion parameter (server.py NB_R). Every team-line price on every sheet reads this cell.</t>
        </is>
      </c>
    </row>
    <row r="7">
      <c r="A7" s="2" t="inlineStr">
        <is>
          <t>Bet at EV of</t>
        </is>
      </c>
      <c r="B7" s="6" t="n">
        <v>0.05</v>
      </c>
      <c r="C7" s="5" t="inlineStr">
        <is>
          <t>← BET above this edge, 'thin' between 0 and here, 'no bet' below 0.</t>
        </is>
      </c>
    </row>
    <row r="10">
      <c r="A10" s="7" t="inlineStr">
        <is>
          <t>THIS WEEK IS AN INTERNATIONAL BREAK</t>
        </is>
      </c>
    </row>
    <row r="11" ht="65" customHeight="1">
      <c r="B11" s="8" t="inlineStr">
        <is>
          <t>77 fixtures fall in the window and the big European leagues are not among them: the Premier League, Bundesliga, La Liga and Serie A all resume on 9-11 October. What is here is Brazil (Série A and B), Argentina, the English League One and Two, the Dutch Eerste Divisie, Norway's 1. divisjon and two MLS games. The boards are thin because the calendar is thin, not because the model went quiet.</t>
        </is>
      </c>
    </row>
    <row r="13">
      <c r="A13" s="7" t="inlineStr">
        <is>
          <t>THE FOUR BOARDS</t>
        </is>
      </c>
    </row>
    <row r="14" ht="39" customHeight="1">
      <c r="A14" s="2" t="inlineStr">
        <is>
          <t>Streaks</t>
        </is>
      </c>
      <c r="B14" s="9" t="inlineStr">
        <is>
          <t>A team keeps clearing — or keeps staying under — the same line. A run and nothing about the opponent. Three types in one sheet: team over, team under, match total under. Filter the Type column.</t>
        </is>
      </c>
    </row>
    <row r="15" ht="26" customHeight="1">
      <c r="A15" s="2" t="inlineStr">
        <is>
          <t>Mismatches</t>
        </is>
      </c>
      <c r="B15" s="9" t="inlineStr">
        <is>
          <t>This attack against THIS defence. About the fixture rather than the form: a side winning more corners than its league average drawn against one conceding more than its league average.</t>
        </is>
      </c>
    </row>
    <row r="16" ht="26" customHeight="1">
      <c r="A16" s="2" t="inlineStr">
        <is>
          <t>Chase board</t>
        </is>
      </c>
      <c r="B16" s="9" t="inlineStr">
        <is>
          <t>This team at this venue against that defence at theirs, ordered by the backend's own chase score. A filter, not a ranking — see below.</t>
        </is>
      </c>
    </row>
    <row r="17" ht="14" customHeight="1">
      <c r="A17" s="2" t="inlineStr">
        <is>
          <t>Perfect games</t>
        </is>
      </c>
      <c r="B17" s="9" t="inlineStr">
        <is>
          <t>Where a run and a favourable matchup point at the same fixture. The shortlist, not a verdict.</t>
        </is>
      </c>
    </row>
    <row r="19">
      <c r="A19" s="7" t="inlineStr">
        <is>
          <t>HOW TO USE IT</t>
        </is>
      </c>
    </row>
    <row r="20" ht="26" customHeight="1">
      <c r="B20" s="9" t="inlineStr">
        <is>
          <t>Type the bookmaker's decimal odds into the yellow Book column. Probability, fair odds, EV and the verdict are formulas — they fill themselves in, and they re-price if you edit a lambda.</t>
        </is>
      </c>
    </row>
    <row r="21" ht="26" customHeight="1">
      <c r="B21" s="9" t="inlineStr">
        <is>
          <t>YELLOW is yours to type in. BLUE is a figure from the export — the model's, not the market's. Black is a formula and does not need touching.</t>
        </is>
      </c>
    </row>
    <row r="22" ht="26" customHeight="1">
      <c r="B22" s="9" t="inlineStr">
        <is>
          <t>Check the market actually offers that line at that price before backing it. The lines here are the model's, not a bookmaker's.</t>
        </is>
      </c>
    </row>
    <row r="24">
      <c r="A24" s="7" t="inlineStr">
        <is>
          <t>WHAT THE COLUMNS MEAN</t>
        </is>
      </c>
    </row>
    <row r="25" ht="26" customHeight="1">
      <c r="A25" s="2" t="inlineStr">
        <is>
          <t>Bet</t>
        </is>
      </c>
      <c r="B25" s="9" t="inlineStr">
        <is>
          <t>The claim being priced. '6+ team corners' is that team's own corners; 'under 9 match corners' is the whole game. The same two characters mean different bets.</t>
        </is>
      </c>
    </row>
    <row r="26" ht="65" customHeight="1">
      <c r="A26" s="2" t="inlineStr">
        <is>
          <t>λ (lambda)</t>
        </is>
      </c>
      <c r="B26" s="9" t="inlineStr">
        <is>
          <t>The model's expected corner count for that team (or the match) in that fixture, taken from the export's upcoming-fixtures list. Every price on the row comes from it, and every sheet prices the same game off the same number. The mismatch board in the export carries a lambda of its own, built from the two venue averages alone; where the two differ it is by about a tenth of a corner, and this workbook uses the fixture one.</t>
        </is>
      </c>
    </row>
    <row r="27" ht="26" customHeight="1">
      <c r="A27" s="2" t="inlineStr">
        <is>
          <t>Avg</t>
        </is>
      </c>
      <c r="B27" s="9" t="inlineStr">
        <is>
          <t>On the Streaks sheet: the last-five average of whatever the streak is about — that team's own corners, or the match total.</t>
        </is>
      </c>
    </row>
    <row r="28" ht="26" customHeight="1">
      <c r="A28" s="2" t="inlineStr">
        <is>
          <t>Prob</t>
        </is>
      </c>
      <c r="B28" s="9" t="inlineStr">
        <is>
          <t>The model's probability, computed on the row from λ: Negative Binomial for a team line, Poisson for a match total — the same two distributions the backend prices with.</t>
        </is>
      </c>
    </row>
    <row r="29" ht="39" customHeight="1">
      <c r="A29" s="2" t="inlineStr">
        <is>
          <t>Void</t>
        </is>
      </c>
      <c r="B29" s="9" t="inlineStr">
        <is>
          <t>An under on a whole line pushes when the count lands exactly on it. Fair price is taken over settled outcomes only, and EV credits the stake back on a void. An over cannot push, so this is zero there.</t>
        </is>
      </c>
    </row>
    <row r="30" ht="14" customHeight="1">
      <c r="A30" s="2" t="inlineStr">
        <is>
          <t>Fair</t>
        </is>
      </c>
      <c r="B30" s="9" t="inlineStr">
        <is>
          <t>The model's price. Beat it and there is an edge; that is all EV measures.</t>
        </is>
      </c>
    </row>
    <row r="31" ht="26" customHeight="1">
      <c r="A31" s="2" t="inlineStr">
        <is>
          <t>Run / L5</t>
        </is>
      </c>
      <c r="B31" s="9" t="inlineStr">
        <is>
          <t>Run is how many games the streak is currently at. L5 is how many of the last five cleared the line — a success rate on the exact thing claimed.</t>
        </is>
      </c>
    </row>
    <row r="32" ht="14" customHeight="1">
      <c r="A32" s="2" t="inlineStr">
        <is>
          <t>Chase score</t>
        </is>
      </c>
      <c r="B32" s="9" t="inlineStr">
        <is>
          <t>λ × (0.6 + 0.4 × consistency), the backend's own formula.</t>
        </is>
      </c>
    </row>
    <row r="34">
      <c r="A34" s="7" t="inlineStr">
        <is>
          <t>WHAT IS DERIVED HERE AND NOT THE SITE'S OWN OUTPUT</t>
        </is>
      </c>
    </row>
    <row r="35" ht="52" customHeight="1">
      <c r="A35" s="2" t="inlineStr">
        <is>
          <t>Chase board</t>
        </is>
      </c>
      <c r="B35" s="9" t="inlineStr">
        <is>
          <t>The site measures consistency on the team's last five AT THE VENUE and requires four games there. The export carries venue averages but no venue-by-venue game list, so the L5 hits column counts the last five OVERALL. The venue averages, λ, the line and the score are the backend's arithmetic; that one column is a proxy.</t>
        </is>
      </c>
    </row>
    <row r="36" ht="52" customHeight="1">
      <c r="A36" s="2" t="inlineStr">
        <is>
          <t>Perfect games</t>
        </is>
      </c>
      <c r="B36" s="9" t="inlineStr">
        <is>
          <t>The site also requires the opponent to have CONCEDED that line in at least five of their last ten at the relevant venue — a count, because an average hides the shape of it. The export carries only the average, shown here as 'Opp conc/g'. So this sheet is a looser shortlist than /perfect-games would return.</t>
        </is>
      </c>
    </row>
    <row r="37" ht="26" customHeight="1">
      <c r="A37" s="2" t="inlineStr">
        <is>
          <t>Next fixture</t>
        </is>
      </c>
      <c r="B37" s="9" t="inlineStr">
        <is>
          <t>The boards in the export name a team and a league but not the game. Each row here was joined to that team's earliest fixture inside the window, from the export's own upcoming-fixtures list.</t>
        </is>
      </c>
    </row>
    <row r="39">
      <c r="A39" s="7" t="inlineStr">
        <is>
          <t>WHAT THIS IS NOT</t>
        </is>
      </c>
    </row>
    <row r="40" ht="14" customHeight="1">
      <c r="B40" s="9" t="inlineStr">
        <is>
          <t>Not a bet list. A fair price with no book price beside it is a lead to check.</t>
        </is>
      </c>
    </row>
    <row r="41" ht="52" customHeight="1">
      <c r="B41" s="9" t="inlineStr">
        <is>
          <t>A long run is the weakest reading of a team on its own. measure_chase_board.py replayed four orderings of this board walk-forward and could not separate any of them from a shuffled control — so order the sheets by anything you like, but treat them as filters rather than as a ranking of confidence.</t>
        </is>
      </c>
    </row>
    <row r="42" ht="26" customHeight="1">
      <c r="B42" s="9" t="inlineStr">
        <is>
          <t>Corner counts are real (API-Football). Bookmaker odds are yours to type; every model figure here is a fair value, not a market price.</t>
        </is>
      </c>
    </row>
    <row r="43" ht="14" customHeight="1">
      <c r="B43" s="9" t="inlineStr">
        <is>
          <t>Dates are kick-off dates from the export, which does not carry kick-off times.</t>
        </is>
      </c>
    </row>
    <row r="45">
      <c r="A45" s="7" t="inlineStr">
        <is>
          <t>Rows on each sheet</t>
        </is>
      </c>
    </row>
    <row r="46">
      <c r="A46" s="2" t="inlineStr">
        <is>
          <t>Streaks</t>
        </is>
      </c>
      <c r="B46" s="3" t="n">
        <v>137</v>
      </c>
    </row>
    <row r="47">
      <c r="A47" s="2" t="inlineStr">
        <is>
          <t>Mismatches</t>
        </is>
      </c>
      <c r="B47" s="3" t="n">
        <v>10</v>
      </c>
    </row>
    <row r="48">
      <c r="A48" s="2" t="inlineStr">
        <is>
          <t>Chase board</t>
        </is>
      </c>
      <c r="B48" s="3" t="n">
        <v>106</v>
      </c>
    </row>
    <row r="49">
      <c r="A49" s="2" t="inlineStr">
        <is>
          <t>Perfect games</t>
        </is>
      </c>
      <c r="B49" s="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8"/>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0" customWidth="1" min="4" max="4"/>
    <col width="7" customWidth="1" min="5" max="5"/>
    <col width="11" customWidth="1" min="6" max="6"/>
    <col width="22" customWidth="1" min="7" max="7"/>
    <col width="6" customWidth="1" min="8" max="8"/>
    <col width="8" customWidth="1" min="9" max="9"/>
    <col width="6" customWidth="1" min="10" max="10"/>
    <col width="7" customWidth="1" min="11" max="11"/>
    <col width="7" customWidth="1" min="12" max="12"/>
    <col width="8" customWidth="1" min="13" max="13"/>
    <col width="7" customWidth="1" min="14" max="14"/>
    <col width="7" customWidth="1" min="15" max="15"/>
    <col width="8" customWidth="1" min="16" max="16"/>
    <col width="8" customWidth="1" min="17" max="17"/>
    <col width="13" customWidth="1" min="18" max="18"/>
  </cols>
  <sheetData>
    <row r="1">
      <c r="A1" s="10" t="inlineStr">
        <is>
          <t>Date</t>
        </is>
      </c>
      <c r="B1" s="10" t="inlineStr">
        <is>
          <t>League</t>
        </is>
      </c>
      <c r="C1" s="10" t="inlineStr">
        <is>
          <t>Fixture</t>
        </is>
      </c>
      <c r="D1" s="10" t="inlineStr">
        <is>
          <t>Team</t>
        </is>
      </c>
      <c r="E1" s="10" t="inlineStr">
        <is>
          <t>Side</t>
        </is>
      </c>
      <c r="F1" s="10" t="inlineStr">
        <is>
          <t>Type</t>
        </is>
      </c>
      <c r="G1" s="10" t="inlineStr">
        <is>
          <t>Bet</t>
        </is>
      </c>
      <c r="H1" s="10" t="inlineStr">
        <is>
          <t>Run</t>
        </is>
      </c>
      <c r="I1" s="10" t="inlineStr">
        <is>
          <t>Longest</t>
        </is>
      </c>
      <c r="J1" s="10" t="inlineStr">
        <is>
          <t>L5</t>
        </is>
      </c>
      <c r="K1" s="10" t="inlineStr">
        <is>
          <t>Avg</t>
        </is>
      </c>
      <c r="L1" s="10" t="inlineStr">
        <is>
          <t>λ</t>
        </is>
      </c>
      <c r="M1" s="10" t="inlineStr">
        <is>
          <t>Prob</t>
        </is>
      </c>
      <c r="N1" s="10" t="inlineStr">
        <is>
          <t>Void</t>
        </is>
      </c>
      <c r="O1" s="10" t="inlineStr">
        <is>
          <t>Fair</t>
        </is>
      </c>
      <c r="P1" s="10" t="inlineStr">
        <is>
          <t>Book</t>
        </is>
      </c>
      <c r="Q1" s="10" t="inlineStr">
        <is>
          <t>EV</t>
        </is>
      </c>
      <c r="R1" s="10" t="inlineStr">
        <is>
          <t>Verdict</t>
        </is>
      </c>
    </row>
    <row r="2">
      <c r="A2" s="11" t="n">
        <v>46298</v>
      </c>
      <c r="B2" s="12" t="inlineStr">
        <is>
          <t>England League One</t>
        </is>
      </c>
      <c r="C2" s="12" t="inlineStr">
        <is>
          <t>Burton Albion v Huddersfield</t>
        </is>
      </c>
      <c r="D2" s="12" t="inlineStr">
        <is>
          <t>Huddersfield</t>
        </is>
      </c>
      <c r="E2" s="12" t="inlineStr">
        <is>
          <t>Away</t>
        </is>
      </c>
      <c r="F2" s="12" t="inlineStr">
        <is>
          <t>Team over</t>
        </is>
      </c>
      <c r="G2" s="12" t="inlineStr">
        <is>
          <t>3+ team corners</t>
        </is>
      </c>
      <c r="H2" s="12" t="n">
        <v>19</v>
      </c>
      <c r="I2" s="12" t="n">
        <v>19</v>
      </c>
      <c r="J2" s="12" t="inlineStr">
        <is>
          <t>5/5</t>
        </is>
      </c>
      <c r="K2" s="13" t="n">
        <v>6.4</v>
      </c>
      <c r="L2" s="14" t="n">
        <v>4.32</v>
      </c>
      <c r="M2" s="15">
        <f>IFERROR(1-(EXP(GAMMALN(0+'Read me'!$B$6)-GAMMALN('Read me'!$B$6)-GAMMALN(0+1)+'Read me'!$B$6*LN('Read me'!$B$6/('Read me'!$B$6+L2))+0*LN(L2/('Read me'!$B$6+L2)))+EXP(GAMMALN(1+'Read me'!$B$6)-GAMMALN('Read me'!$B$6)-GAMMALN(1+1)+'Read me'!$B$6*LN('Read me'!$B$6/('Read me'!$B$6+L2))+1*LN(L2/('Read me'!$B$6+L2)))+EXP(GAMMALN(2+'Read me'!$B$6)-GAMMALN('Read me'!$B$6)-GAMMALN(2+1)+'Read me'!$B$6*LN('Read me'!$B$6/('Read me'!$B$6+L2))+2*LN(L2/('Read me'!$B$6+L2)))),"")</f>
        <v/>
      </c>
      <c r="N2" s="16" t="n">
        <v>0</v>
      </c>
      <c r="O2" s="17">
        <f>IFERROR(1/M2,"")</f>
        <v/>
      </c>
      <c r="P2" s="18" t="n"/>
      <c r="Q2" s="19">
        <f>IF(P2="","",P2*M2-1)</f>
        <v/>
      </c>
      <c r="R2" s="20">
        <f>IF(Q2="","awaiting price",IF(Q2&gt;='Read me'!$B$7,"BET",IF(Q2&gt;=0,"thin","no bet")))</f>
        <v/>
      </c>
    </row>
    <row r="3">
      <c r="A3" s="11" t="n">
        <v>46298</v>
      </c>
      <c r="B3" s="12" t="inlineStr">
        <is>
          <t>England League One</t>
        </is>
      </c>
      <c r="C3" s="12" t="inlineStr">
        <is>
          <t>Leyton Orient v Plymouth</t>
        </is>
      </c>
      <c r="D3" s="12" t="inlineStr">
        <is>
          <t>Plymouth</t>
        </is>
      </c>
      <c r="E3" s="12" t="inlineStr">
        <is>
          <t>Away</t>
        </is>
      </c>
      <c r="F3" s="12" t="inlineStr">
        <is>
          <t>Team over</t>
        </is>
      </c>
      <c r="G3" s="12" t="inlineStr">
        <is>
          <t>3+ team corners</t>
        </is>
      </c>
      <c r="H3" s="12" t="n">
        <v>19</v>
      </c>
      <c r="I3" s="12" t="n">
        <v>19</v>
      </c>
      <c r="J3" s="12" t="inlineStr">
        <is>
          <t>5/5</t>
        </is>
      </c>
      <c r="K3" s="13" t="n">
        <v>5.4</v>
      </c>
      <c r="L3" s="14" t="n">
        <v>6.37</v>
      </c>
      <c r="M3" s="15">
        <f>IFERROR(1-(EXP(GAMMALN(0+'Read me'!$B$6)-GAMMALN('Read me'!$B$6)-GAMMALN(0+1)+'Read me'!$B$6*LN('Read me'!$B$6/('Read me'!$B$6+L3))+0*LN(L3/('Read me'!$B$6+L3)))+EXP(GAMMALN(1+'Read me'!$B$6)-GAMMALN('Read me'!$B$6)-GAMMALN(1+1)+'Read me'!$B$6*LN('Read me'!$B$6/('Read me'!$B$6+L3))+1*LN(L3/('Read me'!$B$6+L3)))+EXP(GAMMALN(2+'Read me'!$B$6)-GAMMALN('Read me'!$B$6)-GAMMALN(2+1)+'Read me'!$B$6*LN('Read me'!$B$6/('Read me'!$B$6+L3))+2*LN(L3/('Read me'!$B$6+L3)))),"")</f>
        <v/>
      </c>
      <c r="N3" s="16" t="n">
        <v>0</v>
      </c>
      <c r="O3" s="17">
        <f>IFERROR(1/M3,"")</f>
        <v/>
      </c>
      <c r="P3" s="18" t="n"/>
      <c r="Q3" s="19">
        <f>IF(P3="","",P3*M3-1)</f>
        <v/>
      </c>
      <c r="R3" s="20">
        <f>IF(Q3="","awaiting price",IF(Q3&gt;='Read me'!$B$7,"BET",IF(Q3&gt;=0,"thin","no bet")))</f>
        <v/>
      </c>
    </row>
    <row r="4">
      <c r="A4" s="11" t="n">
        <v>46298</v>
      </c>
      <c r="B4" s="12" t="inlineStr">
        <is>
          <t>England League Two</t>
        </is>
      </c>
      <c r="C4" s="12" t="inlineStr">
        <is>
          <t>Salford City v Fleetwood Town</t>
        </is>
      </c>
      <c r="D4" s="12" t="inlineStr">
        <is>
          <t>Salford City</t>
        </is>
      </c>
      <c r="E4" s="12" t="inlineStr">
        <is>
          <t>Home</t>
        </is>
      </c>
      <c r="F4" s="12" t="inlineStr">
        <is>
          <t>Team over</t>
        </is>
      </c>
      <c r="G4" s="12" t="inlineStr">
        <is>
          <t>3+ team corners</t>
        </is>
      </c>
      <c r="H4" s="12" t="n">
        <v>18</v>
      </c>
      <c r="I4" s="12" t="n">
        <v>18</v>
      </c>
      <c r="J4" s="12" t="inlineStr">
        <is>
          <t>5/5</t>
        </is>
      </c>
      <c r="K4" s="13" t="n">
        <v>7.2</v>
      </c>
      <c r="L4" s="14" t="n">
        <v>6.03</v>
      </c>
      <c r="M4" s="15">
        <f>IFERROR(1-(EXP(GAMMALN(0+'Read me'!$B$6)-GAMMALN('Read me'!$B$6)-GAMMALN(0+1)+'Read me'!$B$6*LN('Read me'!$B$6/('Read me'!$B$6+L4))+0*LN(L4/('Read me'!$B$6+L4)))+EXP(GAMMALN(1+'Read me'!$B$6)-GAMMALN('Read me'!$B$6)-GAMMALN(1+1)+'Read me'!$B$6*LN('Read me'!$B$6/('Read me'!$B$6+L4))+1*LN(L4/('Read me'!$B$6+L4)))+EXP(GAMMALN(2+'Read me'!$B$6)-GAMMALN('Read me'!$B$6)-GAMMALN(2+1)+'Read me'!$B$6*LN('Read me'!$B$6/('Read me'!$B$6+L4))+2*LN(L4/('Read me'!$B$6+L4)))),"")</f>
        <v/>
      </c>
      <c r="N4" s="16" t="n">
        <v>0</v>
      </c>
      <c r="O4" s="17">
        <f>IFERROR(1/M4,"")</f>
        <v/>
      </c>
      <c r="P4" s="18" t="n"/>
      <c r="Q4" s="19">
        <f>IF(P4="","",P4*M4-1)</f>
        <v/>
      </c>
      <c r="R4" s="20">
        <f>IF(Q4="","awaiting price",IF(Q4&gt;='Read me'!$B$7,"BET",IF(Q4&gt;=0,"thin","no bet")))</f>
        <v/>
      </c>
    </row>
    <row r="5">
      <c r="A5" s="11" t="n">
        <v>46299</v>
      </c>
      <c r="B5" s="12" t="inlineStr">
        <is>
          <t>Argentina Liga Profesional</t>
        </is>
      </c>
      <c r="C5" s="12" t="inlineStr">
        <is>
          <t>Talleres Cordoba v Belgrano Cordoba</t>
        </is>
      </c>
      <c r="D5" s="12" t="inlineStr">
        <is>
          <t>Belgrano Cordoba</t>
        </is>
      </c>
      <c r="E5" s="12" t="inlineStr">
        <is>
          <t>Away</t>
        </is>
      </c>
      <c r="F5" s="12" t="inlineStr">
        <is>
          <t>Team under</t>
        </is>
      </c>
      <c r="G5" s="12" t="inlineStr">
        <is>
          <t>under 8 team corners</t>
        </is>
      </c>
      <c r="H5" s="12" t="n">
        <v>17</v>
      </c>
      <c r="I5" s="12" t="n">
        <v>17</v>
      </c>
      <c r="J5" s="12" t="inlineStr">
        <is>
          <t>4/4</t>
        </is>
      </c>
      <c r="K5" s="13" t="n">
        <v>6</v>
      </c>
      <c r="L5" s="14" t="n">
        <v>4.36</v>
      </c>
      <c r="M5" s="15">
        <f>IFERROR((EXP(GAMMALN(0+'Read me'!$B$6)-GAMMALN('Read me'!$B$6)-GAMMALN(0+1)+'Read me'!$B$6*LN('Read me'!$B$6/('Read me'!$B$6+L5))+0*LN(L5/('Read me'!$B$6+L5)))+EXP(GAMMALN(1+'Read me'!$B$6)-GAMMALN('Read me'!$B$6)-GAMMALN(1+1)+'Read me'!$B$6*LN('Read me'!$B$6/('Read me'!$B$6+L5))+1*LN(L5/('Read me'!$B$6+L5)))+EXP(GAMMALN(2+'Read me'!$B$6)-GAMMALN('Read me'!$B$6)-GAMMALN(2+1)+'Read me'!$B$6*LN('Read me'!$B$6/('Read me'!$B$6+L5))+2*LN(L5/('Read me'!$B$6+L5)))+EXP(GAMMALN(3+'Read me'!$B$6)-GAMMALN('Read me'!$B$6)-GAMMALN(3+1)+'Read me'!$B$6*LN('Read me'!$B$6/('Read me'!$B$6+L5))+3*LN(L5/('Read me'!$B$6+L5)))+EXP(GAMMALN(4+'Read me'!$B$6)-GAMMALN('Read me'!$B$6)-GAMMALN(4+1)+'Read me'!$B$6*LN('Read me'!$B$6/('Read me'!$B$6+L5))+4*LN(L5/('Read me'!$B$6+L5)))+EXP(GAMMALN(5+'Read me'!$B$6)-GAMMALN('Read me'!$B$6)-GAMMALN(5+1)+'Read me'!$B$6*LN('Read me'!$B$6/('Read me'!$B$6+L5))+5*LN(L5/('Read me'!$B$6+L5)))+EXP(GAMMALN(6+'Read me'!$B$6)-GAMMALN('Read me'!$B$6)-GAMMALN(6+1)+'Read me'!$B$6*LN('Read me'!$B$6/('Read me'!$B$6+L5))+6*LN(L5/('Read me'!$B$6+L5)))+EXP(GAMMALN(7+'Read me'!$B$6)-GAMMALN('Read me'!$B$6)-GAMMALN(7+1)+'Read me'!$B$6*LN('Read me'!$B$6/('Read me'!$B$6+L5))+7*LN(L5/('Read me'!$B$6+L5)))),"")</f>
        <v/>
      </c>
      <c r="N5" s="16">
        <f>IFERROR(EXP(GAMMALN(8+'Read me'!$B$6)-GAMMALN('Read me'!$B$6)-GAMMALN(8+1)+'Read me'!$B$6*LN('Read me'!$B$6/('Read me'!$B$6+L5))+8*LN(L5/('Read me'!$B$6+L5))),"")</f>
        <v/>
      </c>
      <c r="O5" s="17">
        <f>IFERROR((1-N5)/M5,"")</f>
        <v/>
      </c>
      <c r="P5" s="18" t="n"/>
      <c r="Q5" s="19">
        <f>IF(P5="","",P5*M5+N5-1)</f>
        <v/>
      </c>
      <c r="R5" s="20">
        <f>IF(Q5="","awaiting price",IF(Q5&gt;='Read me'!$B$7,"BET",IF(Q5&gt;=0,"thin","no bet")))</f>
        <v/>
      </c>
    </row>
    <row r="6">
      <c r="A6" s="11" t="n">
        <v>46298</v>
      </c>
      <c r="B6" s="12" t="inlineStr">
        <is>
          <t>England League One</t>
        </is>
      </c>
      <c r="C6" s="12" t="inlineStr">
        <is>
          <t>Reading v Bradford</t>
        </is>
      </c>
      <c r="D6" s="12" t="inlineStr">
        <is>
          <t>Reading</t>
        </is>
      </c>
      <c r="E6" s="12" t="inlineStr">
        <is>
          <t>Home</t>
        </is>
      </c>
      <c r="F6" s="12" t="inlineStr">
        <is>
          <t>Team under</t>
        </is>
      </c>
      <c r="G6" s="12" t="inlineStr">
        <is>
          <t>under 7 team corners</t>
        </is>
      </c>
      <c r="H6" s="12" t="n">
        <v>16</v>
      </c>
      <c r="I6" s="12" t="n">
        <v>16</v>
      </c>
      <c r="J6" s="12" t="inlineStr">
        <is>
          <t>4/4</t>
        </is>
      </c>
      <c r="K6" s="13" t="n">
        <v>5</v>
      </c>
      <c r="L6" s="14" t="n">
        <v>5.04</v>
      </c>
      <c r="M6" s="15">
        <f>IFERROR((EXP(GAMMALN(0+'Read me'!$B$6)-GAMMALN('Read me'!$B$6)-GAMMALN(0+1)+'Read me'!$B$6*LN('Read me'!$B$6/('Read me'!$B$6+L6))+0*LN(L6/('Read me'!$B$6+L6)))+EXP(GAMMALN(1+'Read me'!$B$6)-GAMMALN('Read me'!$B$6)-GAMMALN(1+1)+'Read me'!$B$6*LN('Read me'!$B$6/('Read me'!$B$6+L6))+1*LN(L6/('Read me'!$B$6+L6)))+EXP(GAMMALN(2+'Read me'!$B$6)-GAMMALN('Read me'!$B$6)-GAMMALN(2+1)+'Read me'!$B$6*LN('Read me'!$B$6/('Read me'!$B$6+L6))+2*LN(L6/('Read me'!$B$6+L6)))+EXP(GAMMALN(3+'Read me'!$B$6)-GAMMALN('Read me'!$B$6)-GAMMALN(3+1)+'Read me'!$B$6*LN('Read me'!$B$6/('Read me'!$B$6+L6))+3*LN(L6/('Read me'!$B$6+L6)))+EXP(GAMMALN(4+'Read me'!$B$6)-GAMMALN('Read me'!$B$6)-GAMMALN(4+1)+'Read me'!$B$6*LN('Read me'!$B$6/('Read me'!$B$6+L6))+4*LN(L6/('Read me'!$B$6+L6)))+EXP(GAMMALN(5+'Read me'!$B$6)-GAMMALN('Read me'!$B$6)-GAMMALN(5+1)+'Read me'!$B$6*LN('Read me'!$B$6/('Read me'!$B$6+L6))+5*LN(L6/('Read me'!$B$6+L6)))+EXP(GAMMALN(6+'Read me'!$B$6)-GAMMALN('Read me'!$B$6)-GAMMALN(6+1)+'Read me'!$B$6*LN('Read me'!$B$6/('Read me'!$B$6+L6))+6*LN(L6/('Read me'!$B$6+L6)))),"")</f>
        <v/>
      </c>
      <c r="N6" s="16">
        <f>IFERROR(EXP(GAMMALN(7+'Read me'!$B$6)-GAMMALN('Read me'!$B$6)-GAMMALN(7+1)+'Read me'!$B$6*LN('Read me'!$B$6/('Read me'!$B$6+L6))+7*LN(L6/('Read me'!$B$6+L6))),"")</f>
        <v/>
      </c>
      <c r="O6" s="17">
        <f>IFERROR((1-N6)/M6,"")</f>
        <v/>
      </c>
      <c r="P6" s="18" t="n"/>
      <c r="Q6" s="19">
        <f>IF(P6="","",P6*M6+N6-1)</f>
        <v/>
      </c>
      <c r="R6" s="20">
        <f>IF(Q6="","awaiting price",IF(Q6&gt;='Read me'!$B$7,"BET",IF(Q6&gt;=0,"thin","no bet")))</f>
        <v/>
      </c>
    </row>
    <row r="7">
      <c r="A7" s="11" t="n">
        <v>46302</v>
      </c>
      <c r="B7" s="12" t="inlineStr">
        <is>
          <t>Brazil Série A</t>
        </is>
      </c>
      <c r="C7" s="12" t="inlineStr">
        <is>
          <t>Vitoria v Chapecoense-sc</t>
        </is>
      </c>
      <c r="D7" s="12" t="inlineStr">
        <is>
          <t>Chapecoense-sc</t>
        </is>
      </c>
      <c r="E7" s="12" t="inlineStr">
        <is>
          <t>Away</t>
        </is>
      </c>
      <c r="F7" s="12" t="inlineStr">
        <is>
          <t>Team under</t>
        </is>
      </c>
      <c r="G7" s="12" t="inlineStr">
        <is>
          <t>under 7 team corners</t>
        </is>
      </c>
      <c r="H7" s="12" t="n">
        <v>16</v>
      </c>
      <c r="I7" s="12" t="n">
        <v>16</v>
      </c>
      <c r="J7" s="12" t="inlineStr">
        <is>
          <t>3/3</t>
        </is>
      </c>
      <c r="K7" s="13" t="n">
        <v>4.4</v>
      </c>
      <c r="L7" s="14" t="n">
        <v>3.07</v>
      </c>
      <c r="M7" s="15">
        <f>IFERROR((EXP(GAMMALN(0+'Read me'!$B$6)-GAMMALN('Read me'!$B$6)-GAMMALN(0+1)+'Read me'!$B$6*LN('Read me'!$B$6/('Read me'!$B$6+L7))+0*LN(L7/('Read me'!$B$6+L7)))+EXP(GAMMALN(1+'Read me'!$B$6)-GAMMALN('Read me'!$B$6)-GAMMALN(1+1)+'Read me'!$B$6*LN('Read me'!$B$6/('Read me'!$B$6+L7))+1*LN(L7/('Read me'!$B$6+L7)))+EXP(GAMMALN(2+'Read me'!$B$6)-GAMMALN('Read me'!$B$6)-GAMMALN(2+1)+'Read me'!$B$6*LN('Read me'!$B$6/('Read me'!$B$6+L7))+2*LN(L7/('Read me'!$B$6+L7)))+EXP(GAMMALN(3+'Read me'!$B$6)-GAMMALN('Read me'!$B$6)-GAMMALN(3+1)+'Read me'!$B$6*LN('Read me'!$B$6/('Read me'!$B$6+L7))+3*LN(L7/('Read me'!$B$6+L7)))+EXP(GAMMALN(4+'Read me'!$B$6)-GAMMALN('Read me'!$B$6)-GAMMALN(4+1)+'Read me'!$B$6*LN('Read me'!$B$6/('Read me'!$B$6+L7))+4*LN(L7/('Read me'!$B$6+L7)))+EXP(GAMMALN(5+'Read me'!$B$6)-GAMMALN('Read me'!$B$6)-GAMMALN(5+1)+'Read me'!$B$6*LN('Read me'!$B$6/('Read me'!$B$6+L7))+5*LN(L7/('Read me'!$B$6+L7)))+EXP(GAMMALN(6+'Read me'!$B$6)-GAMMALN('Read me'!$B$6)-GAMMALN(6+1)+'Read me'!$B$6*LN('Read me'!$B$6/('Read me'!$B$6+L7))+6*LN(L7/('Read me'!$B$6+L7)))),"")</f>
        <v/>
      </c>
      <c r="N7" s="16">
        <f>IFERROR(EXP(GAMMALN(7+'Read me'!$B$6)-GAMMALN('Read me'!$B$6)-GAMMALN(7+1)+'Read me'!$B$6*LN('Read me'!$B$6/('Read me'!$B$6+L7))+7*LN(L7/('Read me'!$B$6+L7))),"")</f>
        <v/>
      </c>
      <c r="O7" s="17">
        <f>IFERROR((1-N7)/M7,"")</f>
        <v/>
      </c>
      <c r="P7" s="18" t="n"/>
      <c r="Q7" s="19">
        <f>IF(P7="","",P7*M7+N7-1)</f>
        <v/>
      </c>
      <c r="R7" s="20">
        <f>IF(Q7="","awaiting price",IF(Q7&gt;='Read me'!$B$7,"BET",IF(Q7&gt;=0,"thin","no bet")))</f>
        <v/>
      </c>
    </row>
    <row r="8">
      <c r="A8" s="11" t="n">
        <v>46299</v>
      </c>
      <c r="B8" s="12" t="inlineStr">
        <is>
          <t>Argentina Liga Profesional</t>
        </is>
      </c>
      <c r="C8" s="12" t="inlineStr">
        <is>
          <t>Huracan v Aldosivi</t>
        </is>
      </c>
      <c r="D8" s="12" t="inlineStr">
        <is>
          <t>Aldosivi</t>
        </is>
      </c>
      <c r="E8" s="12" t="inlineStr">
        <is>
          <t>Away</t>
        </is>
      </c>
      <c r="F8" s="12" t="inlineStr">
        <is>
          <t>Team under</t>
        </is>
      </c>
      <c r="G8" s="12" t="inlineStr">
        <is>
          <t>under 8 team corners</t>
        </is>
      </c>
      <c r="H8" s="12" t="n">
        <v>15</v>
      </c>
      <c r="I8" s="12" t="n">
        <v>15</v>
      </c>
      <c r="J8" s="12" t="inlineStr">
        <is>
          <t>4/4</t>
        </is>
      </c>
      <c r="K8" s="13" t="n">
        <v>4.8</v>
      </c>
      <c r="L8" s="14" t="n">
        <v>3.94</v>
      </c>
      <c r="M8" s="15">
        <f>IFERROR((EXP(GAMMALN(0+'Read me'!$B$6)-GAMMALN('Read me'!$B$6)-GAMMALN(0+1)+'Read me'!$B$6*LN('Read me'!$B$6/('Read me'!$B$6+L8))+0*LN(L8/('Read me'!$B$6+L8)))+EXP(GAMMALN(1+'Read me'!$B$6)-GAMMALN('Read me'!$B$6)-GAMMALN(1+1)+'Read me'!$B$6*LN('Read me'!$B$6/('Read me'!$B$6+L8))+1*LN(L8/('Read me'!$B$6+L8)))+EXP(GAMMALN(2+'Read me'!$B$6)-GAMMALN('Read me'!$B$6)-GAMMALN(2+1)+'Read me'!$B$6*LN('Read me'!$B$6/('Read me'!$B$6+L8))+2*LN(L8/('Read me'!$B$6+L8)))+EXP(GAMMALN(3+'Read me'!$B$6)-GAMMALN('Read me'!$B$6)-GAMMALN(3+1)+'Read me'!$B$6*LN('Read me'!$B$6/('Read me'!$B$6+L8))+3*LN(L8/('Read me'!$B$6+L8)))+EXP(GAMMALN(4+'Read me'!$B$6)-GAMMALN('Read me'!$B$6)-GAMMALN(4+1)+'Read me'!$B$6*LN('Read me'!$B$6/('Read me'!$B$6+L8))+4*LN(L8/('Read me'!$B$6+L8)))+EXP(GAMMALN(5+'Read me'!$B$6)-GAMMALN('Read me'!$B$6)-GAMMALN(5+1)+'Read me'!$B$6*LN('Read me'!$B$6/('Read me'!$B$6+L8))+5*LN(L8/('Read me'!$B$6+L8)))+EXP(GAMMALN(6+'Read me'!$B$6)-GAMMALN('Read me'!$B$6)-GAMMALN(6+1)+'Read me'!$B$6*LN('Read me'!$B$6/('Read me'!$B$6+L8))+6*LN(L8/('Read me'!$B$6+L8)))+EXP(GAMMALN(7+'Read me'!$B$6)-GAMMALN('Read me'!$B$6)-GAMMALN(7+1)+'Read me'!$B$6*LN('Read me'!$B$6/('Read me'!$B$6+L8))+7*LN(L8/('Read me'!$B$6+L8)))),"")</f>
        <v/>
      </c>
      <c r="N8" s="16">
        <f>IFERROR(EXP(GAMMALN(8+'Read me'!$B$6)-GAMMALN('Read me'!$B$6)-GAMMALN(8+1)+'Read me'!$B$6*LN('Read me'!$B$6/('Read me'!$B$6+L8))+8*LN(L8/('Read me'!$B$6+L8))),"")</f>
        <v/>
      </c>
      <c r="O8" s="17">
        <f>IFERROR((1-N8)/M8,"")</f>
        <v/>
      </c>
      <c r="P8" s="18" t="n"/>
      <c r="Q8" s="19">
        <f>IF(P8="","",P8*M8+N8-1)</f>
        <v/>
      </c>
      <c r="R8" s="20">
        <f>IF(Q8="","awaiting price",IF(Q8&gt;='Read me'!$B$7,"BET",IF(Q8&gt;=0,"thin","no bet")))</f>
        <v/>
      </c>
    </row>
    <row r="9">
      <c r="A9" s="11" t="n">
        <v>46300</v>
      </c>
      <c r="B9" s="12" t="inlineStr">
        <is>
          <t>Argentina Liga Profesional</t>
        </is>
      </c>
      <c r="C9" s="12" t="inlineStr">
        <is>
          <t>Estudiantes L.P. v Gimnasia M.</t>
        </is>
      </c>
      <c r="D9" s="12" t="inlineStr">
        <is>
          <t>Estudiantes L.P.</t>
        </is>
      </c>
      <c r="E9" s="12" t="inlineStr">
        <is>
          <t>Home</t>
        </is>
      </c>
      <c r="F9" s="12" t="inlineStr">
        <is>
          <t>Team under</t>
        </is>
      </c>
      <c r="G9" s="12" t="inlineStr">
        <is>
          <t>under 8 team corners</t>
        </is>
      </c>
      <c r="H9" s="12" t="n">
        <v>15</v>
      </c>
      <c r="I9" s="12" t="n">
        <v>15</v>
      </c>
      <c r="J9" s="12" t="inlineStr">
        <is>
          <t>4/4</t>
        </is>
      </c>
      <c r="K9" s="13" t="n">
        <v>4.4</v>
      </c>
      <c r="L9" s="14" t="n">
        <v>4.77</v>
      </c>
      <c r="M9" s="15">
        <f>IFERROR((EXP(GAMMALN(0+'Read me'!$B$6)-GAMMALN('Read me'!$B$6)-GAMMALN(0+1)+'Read me'!$B$6*LN('Read me'!$B$6/('Read me'!$B$6+L9))+0*LN(L9/('Read me'!$B$6+L9)))+EXP(GAMMALN(1+'Read me'!$B$6)-GAMMALN('Read me'!$B$6)-GAMMALN(1+1)+'Read me'!$B$6*LN('Read me'!$B$6/('Read me'!$B$6+L9))+1*LN(L9/('Read me'!$B$6+L9)))+EXP(GAMMALN(2+'Read me'!$B$6)-GAMMALN('Read me'!$B$6)-GAMMALN(2+1)+'Read me'!$B$6*LN('Read me'!$B$6/('Read me'!$B$6+L9))+2*LN(L9/('Read me'!$B$6+L9)))+EXP(GAMMALN(3+'Read me'!$B$6)-GAMMALN('Read me'!$B$6)-GAMMALN(3+1)+'Read me'!$B$6*LN('Read me'!$B$6/('Read me'!$B$6+L9))+3*LN(L9/('Read me'!$B$6+L9)))+EXP(GAMMALN(4+'Read me'!$B$6)-GAMMALN('Read me'!$B$6)-GAMMALN(4+1)+'Read me'!$B$6*LN('Read me'!$B$6/('Read me'!$B$6+L9))+4*LN(L9/('Read me'!$B$6+L9)))+EXP(GAMMALN(5+'Read me'!$B$6)-GAMMALN('Read me'!$B$6)-GAMMALN(5+1)+'Read me'!$B$6*LN('Read me'!$B$6/('Read me'!$B$6+L9))+5*LN(L9/('Read me'!$B$6+L9)))+EXP(GAMMALN(6+'Read me'!$B$6)-GAMMALN('Read me'!$B$6)-GAMMALN(6+1)+'Read me'!$B$6*LN('Read me'!$B$6/('Read me'!$B$6+L9))+6*LN(L9/('Read me'!$B$6+L9)))+EXP(GAMMALN(7+'Read me'!$B$6)-GAMMALN('Read me'!$B$6)-GAMMALN(7+1)+'Read me'!$B$6*LN('Read me'!$B$6/('Read me'!$B$6+L9))+7*LN(L9/('Read me'!$B$6+L9)))),"")</f>
        <v/>
      </c>
      <c r="N9" s="16">
        <f>IFERROR(EXP(GAMMALN(8+'Read me'!$B$6)-GAMMALN('Read me'!$B$6)-GAMMALN(8+1)+'Read me'!$B$6*LN('Read me'!$B$6/('Read me'!$B$6+L9))+8*LN(L9/('Read me'!$B$6+L9))),"")</f>
        <v/>
      </c>
      <c r="O9" s="17">
        <f>IFERROR((1-N9)/M9,"")</f>
        <v/>
      </c>
      <c r="P9" s="18" t="n"/>
      <c r="Q9" s="19">
        <f>IF(P9="","",P9*M9+N9-1)</f>
        <v/>
      </c>
      <c r="R9" s="20">
        <f>IF(Q9="","awaiting price",IF(Q9&gt;='Read me'!$B$7,"BET",IF(Q9&gt;=0,"thin","no bet")))</f>
        <v/>
      </c>
    </row>
    <row r="10">
      <c r="A10" s="11" t="n">
        <v>46297</v>
      </c>
      <c r="B10" s="12" t="inlineStr">
        <is>
          <t>Brazil Série B</t>
        </is>
      </c>
      <c r="C10" s="12" t="inlineStr">
        <is>
          <t>Londrina v Criciuma</t>
        </is>
      </c>
      <c r="D10" s="12" t="inlineStr">
        <is>
          <t>Criciuma</t>
        </is>
      </c>
      <c r="E10" s="12" t="inlineStr">
        <is>
          <t>Away</t>
        </is>
      </c>
      <c r="F10" s="12" t="inlineStr">
        <is>
          <t>Team over</t>
        </is>
      </c>
      <c r="G10" s="12" t="inlineStr">
        <is>
          <t>4+ team corners</t>
        </is>
      </c>
      <c r="H10" s="12" t="n">
        <v>14</v>
      </c>
      <c r="I10" s="12" t="n">
        <v>14</v>
      </c>
      <c r="J10" s="12" t="inlineStr">
        <is>
          <t>5/5</t>
        </is>
      </c>
      <c r="K10" s="13" t="n">
        <v>8.199999999999999</v>
      </c>
      <c r="L10" s="14" t="n">
        <v>5.81</v>
      </c>
      <c r="M10" s="15">
        <f>IFERROR(1-(EXP(GAMMALN(0+'Read me'!$B$6)-GAMMALN('Read me'!$B$6)-GAMMALN(0+1)+'Read me'!$B$6*LN('Read me'!$B$6/('Read me'!$B$6+L10))+0*LN(L10/('Read me'!$B$6+L10)))+EXP(GAMMALN(1+'Read me'!$B$6)-GAMMALN('Read me'!$B$6)-GAMMALN(1+1)+'Read me'!$B$6*LN('Read me'!$B$6/('Read me'!$B$6+L10))+1*LN(L10/('Read me'!$B$6+L10)))+EXP(GAMMALN(2+'Read me'!$B$6)-GAMMALN('Read me'!$B$6)-GAMMALN(2+1)+'Read me'!$B$6*LN('Read me'!$B$6/('Read me'!$B$6+L10))+2*LN(L10/('Read me'!$B$6+L10)))+EXP(GAMMALN(3+'Read me'!$B$6)-GAMMALN('Read me'!$B$6)-GAMMALN(3+1)+'Read me'!$B$6*LN('Read me'!$B$6/('Read me'!$B$6+L10))+3*LN(L10/('Read me'!$B$6+L10)))),"")</f>
        <v/>
      </c>
      <c r="N10" s="16" t="n">
        <v>0</v>
      </c>
      <c r="O10" s="17">
        <f>IFERROR(1/M10,"")</f>
        <v/>
      </c>
      <c r="P10" s="18" t="n"/>
      <c r="Q10" s="19">
        <f>IF(P10="","",P10*M10-1)</f>
        <v/>
      </c>
      <c r="R10" s="20">
        <f>IF(Q10="","awaiting price",IF(Q10&gt;='Read me'!$B$7,"BET",IF(Q10&gt;=0,"thin","no bet")))</f>
        <v/>
      </c>
    </row>
    <row r="11">
      <c r="A11" s="11" t="n">
        <v>46298</v>
      </c>
      <c r="B11" s="12" t="inlineStr">
        <is>
          <t>England League Two</t>
        </is>
      </c>
      <c r="C11" s="12" t="inlineStr">
        <is>
          <t>Grimsby v Shrewsbury</t>
        </is>
      </c>
      <c r="D11" s="12" t="inlineStr">
        <is>
          <t>Grimsby</t>
        </is>
      </c>
      <c r="E11" s="12" t="inlineStr">
        <is>
          <t>Home</t>
        </is>
      </c>
      <c r="F11" s="12" t="inlineStr">
        <is>
          <t>Team over</t>
        </is>
      </c>
      <c r="G11" s="12" t="inlineStr">
        <is>
          <t>3+ team corners</t>
        </is>
      </c>
      <c r="H11" s="12" t="n">
        <v>14</v>
      </c>
      <c r="I11" s="12" t="n">
        <v>14</v>
      </c>
      <c r="J11" s="12" t="inlineStr">
        <is>
          <t>5/5</t>
        </is>
      </c>
      <c r="K11" s="13" t="n">
        <v>7</v>
      </c>
      <c r="L11" s="14" t="n">
        <v>5.87</v>
      </c>
      <c r="M11" s="15">
        <f>IFERROR(1-(EXP(GAMMALN(0+'Read me'!$B$6)-GAMMALN('Read me'!$B$6)-GAMMALN(0+1)+'Read me'!$B$6*LN('Read me'!$B$6/('Read me'!$B$6+L11))+0*LN(L11/('Read me'!$B$6+L11)))+EXP(GAMMALN(1+'Read me'!$B$6)-GAMMALN('Read me'!$B$6)-GAMMALN(1+1)+'Read me'!$B$6*LN('Read me'!$B$6/('Read me'!$B$6+L11))+1*LN(L11/('Read me'!$B$6+L11)))+EXP(GAMMALN(2+'Read me'!$B$6)-GAMMALN('Read me'!$B$6)-GAMMALN(2+1)+'Read me'!$B$6*LN('Read me'!$B$6/('Read me'!$B$6+L11))+2*LN(L11/('Read me'!$B$6+L11)))),"")</f>
        <v/>
      </c>
      <c r="N11" s="16" t="n">
        <v>0</v>
      </c>
      <c r="O11" s="17">
        <f>IFERROR(1/M11,"")</f>
        <v/>
      </c>
      <c r="P11" s="18" t="n"/>
      <c r="Q11" s="19">
        <f>IF(P11="","",P11*M11-1)</f>
        <v/>
      </c>
      <c r="R11" s="20">
        <f>IF(Q11="","awaiting price",IF(Q11&gt;='Read me'!$B$7,"BET",IF(Q11&gt;=0,"thin","no bet")))</f>
        <v/>
      </c>
    </row>
    <row r="12">
      <c r="A12" s="11" t="n">
        <v>46298</v>
      </c>
      <c r="B12" s="12" t="inlineStr">
        <is>
          <t>Argentina Liga Profesional</t>
        </is>
      </c>
      <c r="C12" s="12" t="inlineStr">
        <is>
          <t>Atletico Tucuman v Barracas Central</t>
        </is>
      </c>
      <c r="D12" s="12" t="inlineStr">
        <is>
          <t>Barracas Central</t>
        </is>
      </c>
      <c r="E12" s="12" t="inlineStr">
        <is>
          <t>Away</t>
        </is>
      </c>
      <c r="F12" s="12" t="inlineStr">
        <is>
          <t>Team under</t>
        </is>
      </c>
      <c r="G12" s="12" t="inlineStr">
        <is>
          <t>under 7 team corners</t>
        </is>
      </c>
      <c r="H12" s="12" t="n">
        <v>14</v>
      </c>
      <c r="I12" s="12" t="n">
        <v>14</v>
      </c>
      <c r="J12" s="12" t="inlineStr">
        <is>
          <t>4/4</t>
        </is>
      </c>
      <c r="K12" s="13" t="n">
        <v>5</v>
      </c>
      <c r="L12" s="14" t="n">
        <v>3.34</v>
      </c>
      <c r="M12" s="15">
        <f>IFERROR((EXP(GAMMALN(0+'Read me'!$B$6)-GAMMALN('Read me'!$B$6)-GAMMALN(0+1)+'Read me'!$B$6*LN('Read me'!$B$6/('Read me'!$B$6+L12))+0*LN(L12/('Read me'!$B$6+L12)))+EXP(GAMMALN(1+'Read me'!$B$6)-GAMMALN('Read me'!$B$6)-GAMMALN(1+1)+'Read me'!$B$6*LN('Read me'!$B$6/('Read me'!$B$6+L12))+1*LN(L12/('Read me'!$B$6+L12)))+EXP(GAMMALN(2+'Read me'!$B$6)-GAMMALN('Read me'!$B$6)-GAMMALN(2+1)+'Read me'!$B$6*LN('Read me'!$B$6/('Read me'!$B$6+L12))+2*LN(L12/('Read me'!$B$6+L12)))+EXP(GAMMALN(3+'Read me'!$B$6)-GAMMALN('Read me'!$B$6)-GAMMALN(3+1)+'Read me'!$B$6*LN('Read me'!$B$6/('Read me'!$B$6+L12))+3*LN(L12/('Read me'!$B$6+L12)))+EXP(GAMMALN(4+'Read me'!$B$6)-GAMMALN('Read me'!$B$6)-GAMMALN(4+1)+'Read me'!$B$6*LN('Read me'!$B$6/('Read me'!$B$6+L12))+4*LN(L12/('Read me'!$B$6+L12)))+EXP(GAMMALN(5+'Read me'!$B$6)-GAMMALN('Read me'!$B$6)-GAMMALN(5+1)+'Read me'!$B$6*LN('Read me'!$B$6/('Read me'!$B$6+L12))+5*LN(L12/('Read me'!$B$6+L12)))+EXP(GAMMALN(6+'Read me'!$B$6)-GAMMALN('Read me'!$B$6)-GAMMALN(6+1)+'Read me'!$B$6*LN('Read me'!$B$6/('Read me'!$B$6+L12))+6*LN(L12/('Read me'!$B$6+L12)))),"")</f>
        <v/>
      </c>
      <c r="N12" s="16">
        <f>IFERROR(EXP(GAMMALN(7+'Read me'!$B$6)-GAMMALN('Read me'!$B$6)-GAMMALN(7+1)+'Read me'!$B$6*LN('Read me'!$B$6/('Read me'!$B$6+L12))+7*LN(L12/('Read me'!$B$6+L12))),"")</f>
        <v/>
      </c>
      <c r="O12" s="17">
        <f>IFERROR((1-N12)/M12,"")</f>
        <v/>
      </c>
      <c r="P12" s="18" t="n"/>
      <c r="Q12" s="19">
        <f>IF(P12="","",P12*M12+N12-1)</f>
        <v/>
      </c>
      <c r="R12" s="20">
        <f>IF(Q12="","awaiting price",IF(Q12&gt;='Read me'!$B$7,"BET",IF(Q12&gt;=0,"thin","no bet")))</f>
        <v/>
      </c>
    </row>
    <row r="13">
      <c r="A13" s="11" t="n">
        <v>46298</v>
      </c>
      <c r="B13" s="12" t="inlineStr">
        <is>
          <t>Argentina Liga Profesional</t>
        </is>
      </c>
      <c r="C13" s="12" t="inlineStr">
        <is>
          <t>Atletico Tucuman v Barracas Central</t>
        </is>
      </c>
      <c r="D13" s="12" t="inlineStr">
        <is>
          <t>Barracas Central</t>
        </is>
      </c>
      <c r="E13" s="12" t="inlineStr">
        <is>
          <t>Away</t>
        </is>
      </c>
      <c r="F13" s="12" t="inlineStr">
        <is>
          <t>Match under</t>
        </is>
      </c>
      <c r="G13" s="12" t="inlineStr">
        <is>
          <t>under 12 match corners</t>
        </is>
      </c>
      <c r="H13" s="12" t="n">
        <v>14</v>
      </c>
      <c r="I13" s="12" t="n">
        <v>14</v>
      </c>
      <c r="J13" s="12" t="inlineStr">
        <is>
          <t>4/4</t>
        </is>
      </c>
      <c r="K13" s="13" t="n">
        <v>8.4</v>
      </c>
      <c r="L13" s="14" t="n">
        <v>7.56</v>
      </c>
      <c r="M13" s="15">
        <f>IFERROR(POISSON(12-1,L13,TRUE),"")</f>
        <v/>
      </c>
      <c r="N13" s="16">
        <f>IFERROR(POISSON(12,L13,FALSE),"")</f>
        <v/>
      </c>
      <c r="O13" s="17">
        <f>IFERROR((1-N13)/M13,"")</f>
        <v/>
      </c>
      <c r="P13" s="18" t="n"/>
      <c r="Q13" s="19">
        <f>IF(P13="","",P13*M13+N13-1)</f>
        <v/>
      </c>
      <c r="R13" s="20">
        <f>IF(Q13="","awaiting price",IF(Q13&gt;='Read me'!$B$7,"BET",IF(Q13&gt;=0,"thin","no bet")))</f>
        <v/>
      </c>
    </row>
    <row r="14">
      <c r="A14" s="11" t="n">
        <v>46297</v>
      </c>
      <c r="B14" s="12" t="inlineStr">
        <is>
          <t>Brazil Série B</t>
        </is>
      </c>
      <c r="C14" s="12" t="inlineStr">
        <is>
          <t>Novorizontino v Goias</t>
        </is>
      </c>
      <c r="D14" s="12" t="inlineStr">
        <is>
          <t>Novorizontino</t>
        </is>
      </c>
      <c r="E14" s="12" t="inlineStr">
        <is>
          <t>Home</t>
        </is>
      </c>
      <c r="F14" s="12" t="inlineStr">
        <is>
          <t>Team over</t>
        </is>
      </c>
      <c r="G14" s="12" t="inlineStr">
        <is>
          <t>4+ team corners</t>
        </is>
      </c>
      <c r="H14" s="12" t="n">
        <v>13</v>
      </c>
      <c r="I14" s="12" t="n">
        <v>13</v>
      </c>
      <c r="J14" s="12" t="inlineStr">
        <is>
          <t>5/5</t>
        </is>
      </c>
      <c r="K14" s="13" t="n">
        <v>8</v>
      </c>
      <c r="L14" s="14" t="n">
        <v>7.32</v>
      </c>
      <c r="M14" s="15">
        <f>IFERROR(1-(EXP(GAMMALN(0+'Read me'!$B$6)-GAMMALN('Read me'!$B$6)-GAMMALN(0+1)+'Read me'!$B$6*LN('Read me'!$B$6/('Read me'!$B$6+L14))+0*LN(L14/('Read me'!$B$6+L14)))+EXP(GAMMALN(1+'Read me'!$B$6)-GAMMALN('Read me'!$B$6)-GAMMALN(1+1)+'Read me'!$B$6*LN('Read me'!$B$6/('Read me'!$B$6+L14))+1*LN(L14/('Read me'!$B$6+L14)))+EXP(GAMMALN(2+'Read me'!$B$6)-GAMMALN('Read me'!$B$6)-GAMMALN(2+1)+'Read me'!$B$6*LN('Read me'!$B$6/('Read me'!$B$6+L14))+2*LN(L14/('Read me'!$B$6+L14)))+EXP(GAMMALN(3+'Read me'!$B$6)-GAMMALN('Read me'!$B$6)-GAMMALN(3+1)+'Read me'!$B$6*LN('Read me'!$B$6/('Read me'!$B$6+L14))+3*LN(L14/('Read me'!$B$6+L14)))),"")</f>
        <v/>
      </c>
      <c r="N14" s="16" t="n">
        <v>0</v>
      </c>
      <c r="O14" s="17">
        <f>IFERROR(1/M14,"")</f>
        <v/>
      </c>
      <c r="P14" s="18" t="n"/>
      <c r="Q14" s="19">
        <f>IF(P14="","",P14*M14-1)</f>
        <v/>
      </c>
      <c r="R14" s="20">
        <f>IF(Q14="","awaiting price",IF(Q14&gt;='Read me'!$B$7,"BET",IF(Q14&gt;=0,"thin","no bet")))</f>
        <v/>
      </c>
    </row>
    <row r="15">
      <c r="A15" s="11" t="n">
        <v>46298</v>
      </c>
      <c r="B15" s="12" t="inlineStr">
        <is>
          <t>England League One</t>
        </is>
      </c>
      <c r="C15" s="12" t="inlineStr">
        <is>
          <t>Reading v Bradford</t>
        </is>
      </c>
      <c r="D15" s="12" t="inlineStr">
        <is>
          <t>Bradford</t>
        </is>
      </c>
      <c r="E15" s="12" t="inlineStr">
        <is>
          <t>Away</t>
        </is>
      </c>
      <c r="F15" s="12" t="inlineStr">
        <is>
          <t>Team over</t>
        </is>
      </c>
      <c r="G15" s="12" t="inlineStr">
        <is>
          <t>3+ team corners</t>
        </is>
      </c>
      <c r="H15" s="12" t="n">
        <v>13</v>
      </c>
      <c r="I15" s="12" t="n">
        <v>13</v>
      </c>
      <c r="J15" s="12" t="inlineStr">
        <is>
          <t>5/5</t>
        </is>
      </c>
      <c r="K15" s="13" t="n">
        <v>5.8</v>
      </c>
      <c r="L15" s="14" t="n">
        <v>5.2</v>
      </c>
      <c r="M15" s="15">
        <f>IFERROR(1-(EXP(GAMMALN(0+'Read me'!$B$6)-GAMMALN('Read me'!$B$6)-GAMMALN(0+1)+'Read me'!$B$6*LN('Read me'!$B$6/('Read me'!$B$6+L15))+0*LN(L15/('Read me'!$B$6+L15)))+EXP(GAMMALN(1+'Read me'!$B$6)-GAMMALN('Read me'!$B$6)-GAMMALN(1+1)+'Read me'!$B$6*LN('Read me'!$B$6/('Read me'!$B$6+L15))+1*LN(L15/('Read me'!$B$6+L15)))+EXP(GAMMALN(2+'Read me'!$B$6)-GAMMALN('Read me'!$B$6)-GAMMALN(2+1)+'Read me'!$B$6*LN('Read me'!$B$6/('Read me'!$B$6+L15))+2*LN(L15/('Read me'!$B$6+L15)))),"")</f>
        <v/>
      </c>
      <c r="N15" s="16" t="n">
        <v>0</v>
      </c>
      <c r="O15" s="17">
        <f>IFERROR(1/M15,"")</f>
        <v/>
      </c>
      <c r="P15" s="18" t="n"/>
      <c r="Q15" s="19">
        <f>IF(P15="","",P15*M15-1)</f>
        <v/>
      </c>
      <c r="R15" s="20">
        <f>IF(Q15="","awaiting price",IF(Q15&gt;='Read me'!$B$7,"BET",IF(Q15&gt;=0,"thin","no bet")))</f>
        <v/>
      </c>
    </row>
    <row r="16">
      <c r="A16" s="11" t="n">
        <v>46298</v>
      </c>
      <c r="B16" s="12" t="inlineStr">
        <is>
          <t>Netherlands Eerste Divisie</t>
        </is>
      </c>
      <c r="C16" s="12" t="inlineStr">
        <is>
          <t>Almere City FC v FC Volendam</t>
        </is>
      </c>
      <c r="D16" s="12" t="inlineStr">
        <is>
          <t>Almere City FC</t>
        </is>
      </c>
      <c r="E16" s="12" t="inlineStr">
        <is>
          <t>Home</t>
        </is>
      </c>
      <c r="F16" s="12" t="inlineStr">
        <is>
          <t>Team over</t>
        </is>
      </c>
      <c r="G16" s="12" t="inlineStr">
        <is>
          <t>3+ team corners</t>
        </is>
      </c>
      <c r="H16" s="12" t="n">
        <v>13</v>
      </c>
      <c r="I16" s="12" t="n">
        <v>13</v>
      </c>
      <c r="J16" s="12" t="inlineStr">
        <is>
          <t>5/5</t>
        </is>
      </c>
      <c r="K16" s="13" t="n">
        <v>5.2</v>
      </c>
      <c r="L16" s="14" t="n">
        <v>5.63</v>
      </c>
      <c r="M16" s="15">
        <f>IFERROR(1-(EXP(GAMMALN(0+'Read me'!$B$6)-GAMMALN('Read me'!$B$6)-GAMMALN(0+1)+'Read me'!$B$6*LN('Read me'!$B$6/('Read me'!$B$6+L16))+0*LN(L16/('Read me'!$B$6+L16)))+EXP(GAMMALN(1+'Read me'!$B$6)-GAMMALN('Read me'!$B$6)-GAMMALN(1+1)+'Read me'!$B$6*LN('Read me'!$B$6/('Read me'!$B$6+L16))+1*LN(L16/('Read me'!$B$6+L16)))+EXP(GAMMALN(2+'Read me'!$B$6)-GAMMALN('Read me'!$B$6)-GAMMALN(2+1)+'Read me'!$B$6*LN('Read me'!$B$6/('Read me'!$B$6+L16))+2*LN(L16/('Read me'!$B$6+L16)))),"")</f>
        <v/>
      </c>
      <c r="N16" s="16" t="n">
        <v>0</v>
      </c>
      <c r="O16" s="17">
        <f>IFERROR(1/M16,"")</f>
        <v/>
      </c>
      <c r="P16" s="18" t="n"/>
      <c r="Q16" s="19">
        <f>IF(P16="","",P16*M16-1)</f>
        <v/>
      </c>
      <c r="R16" s="20">
        <f>IF(Q16="","awaiting price",IF(Q16&gt;='Read me'!$B$7,"BET",IF(Q16&gt;=0,"thin","no bet")))</f>
        <v/>
      </c>
    </row>
    <row r="17">
      <c r="A17" s="11" t="n">
        <v>46298</v>
      </c>
      <c r="B17" s="12" t="inlineStr">
        <is>
          <t>Argentina Liga Profesional</t>
        </is>
      </c>
      <c r="C17" s="12" t="inlineStr">
        <is>
          <t>Newells Old Boys v Lanus</t>
        </is>
      </c>
      <c r="D17" s="12" t="inlineStr">
        <is>
          <t>Newells Old Boys</t>
        </is>
      </c>
      <c r="E17" s="12" t="inlineStr">
        <is>
          <t>Home</t>
        </is>
      </c>
      <c r="F17" s="12" t="inlineStr">
        <is>
          <t>Team under</t>
        </is>
      </c>
      <c r="G17" s="12" t="inlineStr">
        <is>
          <t>under 8 team corners</t>
        </is>
      </c>
      <c r="H17" s="12" t="n">
        <v>13</v>
      </c>
      <c r="I17" s="12" t="n">
        <v>13</v>
      </c>
      <c r="J17" s="12" t="inlineStr">
        <is>
          <t>4/4</t>
        </is>
      </c>
      <c r="K17" s="13" t="n">
        <v>3.4</v>
      </c>
      <c r="L17" s="14" t="n">
        <v>5.32</v>
      </c>
      <c r="M17" s="15">
        <f>IFERROR((EXP(GAMMALN(0+'Read me'!$B$6)-GAMMALN('Read me'!$B$6)-GAMMALN(0+1)+'Read me'!$B$6*LN('Read me'!$B$6/('Read me'!$B$6+L17))+0*LN(L17/('Read me'!$B$6+L17)))+EXP(GAMMALN(1+'Read me'!$B$6)-GAMMALN('Read me'!$B$6)-GAMMALN(1+1)+'Read me'!$B$6*LN('Read me'!$B$6/('Read me'!$B$6+L17))+1*LN(L17/('Read me'!$B$6+L17)))+EXP(GAMMALN(2+'Read me'!$B$6)-GAMMALN('Read me'!$B$6)-GAMMALN(2+1)+'Read me'!$B$6*LN('Read me'!$B$6/('Read me'!$B$6+L17))+2*LN(L17/('Read me'!$B$6+L17)))+EXP(GAMMALN(3+'Read me'!$B$6)-GAMMALN('Read me'!$B$6)-GAMMALN(3+1)+'Read me'!$B$6*LN('Read me'!$B$6/('Read me'!$B$6+L17))+3*LN(L17/('Read me'!$B$6+L17)))+EXP(GAMMALN(4+'Read me'!$B$6)-GAMMALN('Read me'!$B$6)-GAMMALN(4+1)+'Read me'!$B$6*LN('Read me'!$B$6/('Read me'!$B$6+L17))+4*LN(L17/('Read me'!$B$6+L17)))+EXP(GAMMALN(5+'Read me'!$B$6)-GAMMALN('Read me'!$B$6)-GAMMALN(5+1)+'Read me'!$B$6*LN('Read me'!$B$6/('Read me'!$B$6+L17))+5*LN(L17/('Read me'!$B$6+L17)))+EXP(GAMMALN(6+'Read me'!$B$6)-GAMMALN('Read me'!$B$6)-GAMMALN(6+1)+'Read me'!$B$6*LN('Read me'!$B$6/('Read me'!$B$6+L17))+6*LN(L17/('Read me'!$B$6+L17)))+EXP(GAMMALN(7+'Read me'!$B$6)-GAMMALN('Read me'!$B$6)-GAMMALN(7+1)+'Read me'!$B$6*LN('Read me'!$B$6/('Read me'!$B$6+L17))+7*LN(L17/('Read me'!$B$6+L17)))),"")</f>
        <v/>
      </c>
      <c r="N17" s="16">
        <f>IFERROR(EXP(GAMMALN(8+'Read me'!$B$6)-GAMMALN('Read me'!$B$6)-GAMMALN(8+1)+'Read me'!$B$6*LN('Read me'!$B$6/('Read me'!$B$6+L17))+8*LN(L17/('Read me'!$B$6+L17))),"")</f>
        <v/>
      </c>
      <c r="O17" s="17">
        <f>IFERROR((1-N17)/M17,"")</f>
        <v/>
      </c>
      <c r="P17" s="18" t="n"/>
      <c r="Q17" s="19">
        <f>IF(P17="","",P17*M17+N17-1)</f>
        <v/>
      </c>
      <c r="R17" s="20">
        <f>IF(Q17="","awaiting price",IF(Q17&gt;='Read me'!$B$7,"BET",IF(Q17&gt;=0,"thin","no bet")))</f>
        <v/>
      </c>
    </row>
    <row r="18">
      <c r="A18" s="11" t="n">
        <v>46298</v>
      </c>
      <c r="B18" s="12" t="inlineStr">
        <is>
          <t>England League Two</t>
        </is>
      </c>
      <c r="C18" s="12" t="inlineStr">
        <is>
          <t>Walsall v Crawley Town</t>
        </is>
      </c>
      <c r="D18" s="12" t="inlineStr">
        <is>
          <t>Crawley Town</t>
        </is>
      </c>
      <c r="E18" s="12" t="inlineStr">
        <is>
          <t>Away</t>
        </is>
      </c>
      <c r="F18" s="12" t="inlineStr">
        <is>
          <t>Team under</t>
        </is>
      </c>
      <c r="G18" s="12" t="inlineStr">
        <is>
          <t>under 8 team corners</t>
        </is>
      </c>
      <c r="H18" s="12" t="n">
        <v>13</v>
      </c>
      <c r="I18" s="12" t="n">
        <v>13</v>
      </c>
      <c r="J18" s="12" t="inlineStr">
        <is>
          <t>4/4</t>
        </is>
      </c>
      <c r="K18" s="13" t="n">
        <v>4.8</v>
      </c>
      <c r="L18" s="14" t="n">
        <v>4.34</v>
      </c>
      <c r="M18" s="15">
        <f>IFERROR((EXP(GAMMALN(0+'Read me'!$B$6)-GAMMALN('Read me'!$B$6)-GAMMALN(0+1)+'Read me'!$B$6*LN('Read me'!$B$6/('Read me'!$B$6+L18))+0*LN(L18/('Read me'!$B$6+L18)))+EXP(GAMMALN(1+'Read me'!$B$6)-GAMMALN('Read me'!$B$6)-GAMMALN(1+1)+'Read me'!$B$6*LN('Read me'!$B$6/('Read me'!$B$6+L18))+1*LN(L18/('Read me'!$B$6+L18)))+EXP(GAMMALN(2+'Read me'!$B$6)-GAMMALN('Read me'!$B$6)-GAMMALN(2+1)+'Read me'!$B$6*LN('Read me'!$B$6/('Read me'!$B$6+L18))+2*LN(L18/('Read me'!$B$6+L18)))+EXP(GAMMALN(3+'Read me'!$B$6)-GAMMALN('Read me'!$B$6)-GAMMALN(3+1)+'Read me'!$B$6*LN('Read me'!$B$6/('Read me'!$B$6+L18))+3*LN(L18/('Read me'!$B$6+L18)))+EXP(GAMMALN(4+'Read me'!$B$6)-GAMMALN('Read me'!$B$6)-GAMMALN(4+1)+'Read me'!$B$6*LN('Read me'!$B$6/('Read me'!$B$6+L18))+4*LN(L18/('Read me'!$B$6+L18)))+EXP(GAMMALN(5+'Read me'!$B$6)-GAMMALN('Read me'!$B$6)-GAMMALN(5+1)+'Read me'!$B$6*LN('Read me'!$B$6/('Read me'!$B$6+L18))+5*LN(L18/('Read me'!$B$6+L18)))+EXP(GAMMALN(6+'Read me'!$B$6)-GAMMALN('Read me'!$B$6)-GAMMALN(6+1)+'Read me'!$B$6*LN('Read me'!$B$6/('Read me'!$B$6+L18))+6*LN(L18/('Read me'!$B$6+L18)))+EXP(GAMMALN(7+'Read me'!$B$6)-GAMMALN('Read me'!$B$6)-GAMMALN(7+1)+'Read me'!$B$6*LN('Read me'!$B$6/('Read me'!$B$6+L18))+7*LN(L18/('Read me'!$B$6+L18)))),"")</f>
        <v/>
      </c>
      <c r="N18" s="16">
        <f>IFERROR(EXP(GAMMALN(8+'Read me'!$B$6)-GAMMALN('Read me'!$B$6)-GAMMALN(8+1)+'Read me'!$B$6*LN('Read me'!$B$6/('Read me'!$B$6+L18))+8*LN(L18/('Read me'!$B$6+L18))),"")</f>
        <v/>
      </c>
      <c r="O18" s="17">
        <f>IFERROR((1-N18)/M18,"")</f>
        <v/>
      </c>
      <c r="P18" s="18" t="n"/>
      <c r="Q18" s="19">
        <f>IF(P18="","",P18*M18+N18-1)</f>
        <v/>
      </c>
      <c r="R18" s="20">
        <f>IF(Q18="","awaiting price",IF(Q18&gt;='Read me'!$B$7,"BET",IF(Q18&gt;=0,"thin","no bet")))</f>
        <v/>
      </c>
    </row>
    <row r="19">
      <c r="A19" s="11" t="n">
        <v>46300</v>
      </c>
      <c r="B19" s="12" t="inlineStr">
        <is>
          <t>Argentina Liga Profesional</t>
        </is>
      </c>
      <c r="C19" s="12" t="inlineStr">
        <is>
          <t>Estudiantes de Rio Cuarto v Racing Club</t>
        </is>
      </c>
      <c r="D19" s="12" t="inlineStr">
        <is>
          <t>Racing Club</t>
        </is>
      </c>
      <c r="E19" s="12" t="inlineStr">
        <is>
          <t>Away</t>
        </is>
      </c>
      <c r="F19" s="12" t="inlineStr">
        <is>
          <t>Team under</t>
        </is>
      </c>
      <c r="G19" s="12" t="inlineStr">
        <is>
          <t>under 7 team corners</t>
        </is>
      </c>
      <c r="H19" s="12" t="n">
        <v>13</v>
      </c>
      <c r="I19" s="12" t="n">
        <v>13</v>
      </c>
      <c r="J19" s="12" t="inlineStr">
        <is>
          <t>4/4</t>
        </is>
      </c>
      <c r="K19" s="13" t="n">
        <v>4.2</v>
      </c>
      <c r="L19" s="14" t="n">
        <v>3.88</v>
      </c>
      <c r="M19" s="15">
        <f>IFERROR((EXP(GAMMALN(0+'Read me'!$B$6)-GAMMALN('Read me'!$B$6)-GAMMALN(0+1)+'Read me'!$B$6*LN('Read me'!$B$6/('Read me'!$B$6+L19))+0*LN(L19/('Read me'!$B$6+L19)))+EXP(GAMMALN(1+'Read me'!$B$6)-GAMMALN('Read me'!$B$6)-GAMMALN(1+1)+'Read me'!$B$6*LN('Read me'!$B$6/('Read me'!$B$6+L19))+1*LN(L19/('Read me'!$B$6+L19)))+EXP(GAMMALN(2+'Read me'!$B$6)-GAMMALN('Read me'!$B$6)-GAMMALN(2+1)+'Read me'!$B$6*LN('Read me'!$B$6/('Read me'!$B$6+L19))+2*LN(L19/('Read me'!$B$6+L19)))+EXP(GAMMALN(3+'Read me'!$B$6)-GAMMALN('Read me'!$B$6)-GAMMALN(3+1)+'Read me'!$B$6*LN('Read me'!$B$6/('Read me'!$B$6+L19))+3*LN(L19/('Read me'!$B$6+L19)))+EXP(GAMMALN(4+'Read me'!$B$6)-GAMMALN('Read me'!$B$6)-GAMMALN(4+1)+'Read me'!$B$6*LN('Read me'!$B$6/('Read me'!$B$6+L19))+4*LN(L19/('Read me'!$B$6+L19)))+EXP(GAMMALN(5+'Read me'!$B$6)-GAMMALN('Read me'!$B$6)-GAMMALN(5+1)+'Read me'!$B$6*LN('Read me'!$B$6/('Read me'!$B$6+L19))+5*LN(L19/('Read me'!$B$6+L19)))+EXP(GAMMALN(6+'Read me'!$B$6)-GAMMALN('Read me'!$B$6)-GAMMALN(6+1)+'Read me'!$B$6*LN('Read me'!$B$6/('Read me'!$B$6+L19))+6*LN(L19/('Read me'!$B$6+L19)))),"")</f>
        <v/>
      </c>
      <c r="N19" s="16">
        <f>IFERROR(EXP(GAMMALN(7+'Read me'!$B$6)-GAMMALN('Read me'!$B$6)-GAMMALN(7+1)+'Read me'!$B$6*LN('Read me'!$B$6/('Read me'!$B$6+L19))+7*LN(L19/('Read me'!$B$6+L19))),"")</f>
        <v/>
      </c>
      <c r="O19" s="17">
        <f>IFERROR((1-N19)/M19,"")</f>
        <v/>
      </c>
      <c r="P19" s="18" t="n"/>
      <c r="Q19" s="19">
        <f>IF(P19="","",P19*M19+N19-1)</f>
        <v/>
      </c>
      <c r="R19" s="20">
        <f>IF(Q19="","awaiting price",IF(Q19&gt;='Read me'!$B$7,"BET",IF(Q19&gt;=0,"thin","no bet")))</f>
        <v/>
      </c>
    </row>
    <row r="20">
      <c r="A20" s="11" t="n">
        <v>46298</v>
      </c>
      <c r="B20" s="12" t="inlineStr">
        <is>
          <t>England League Two</t>
        </is>
      </c>
      <c r="C20" s="12" t="inlineStr">
        <is>
          <t>Gillingham v Newport County</t>
        </is>
      </c>
      <c r="D20" s="12" t="inlineStr">
        <is>
          <t>Gillingham</t>
        </is>
      </c>
      <c r="E20" s="12" t="inlineStr">
        <is>
          <t>Home</t>
        </is>
      </c>
      <c r="F20" s="12" t="inlineStr">
        <is>
          <t>Team under</t>
        </is>
      </c>
      <c r="G20" s="12" t="inlineStr">
        <is>
          <t>under 6 team corners</t>
        </is>
      </c>
      <c r="H20" s="12" t="n">
        <v>12</v>
      </c>
      <c r="I20" s="12" t="n">
        <v>12</v>
      </c>
      <c r="J20" s="12" t="inlineStr">
        <is>
          <t>4/4</t>
        </is>
      </c>
      <c r="K20" s="13" t="n">
        <v>3.4</v>
      </c>
      <c r="L20" s="14" t="n">
        <v>5.3</v>
      </c>
      <c r="M20" s="15">
        <f>IFERROR((EXP(GAMMALN(0+'Read me'!$B$6)-GAMMALN('Read me'!$B$6)-GAMMALN(0+1)+'Read me'!$B$6*LN('Read me'!$B$6/('Read me'!$B$6+L20))+0*LN(L20/('Read me'!$B$6+L20)))+EXP(GAMMALN(1+'Read me'!$B$6)-GAMMALN('Read me'!$B$6)-GAMMALN(1+1)+'Read me'!$B$6*LN('Read me'!$B$6/('Read me'!$B$6+L20))+1*LN(L20/('Read me'!$B$6+L20)))+EXP(GAMMALN(2+'Read me'!$B$6)-GAMMALN('Read me'!$B$6)-GAMMALN(2+1)+'Read me'!$B$6*LN('Read me'!$B$6/('Read me'!$B$6+L20))+2*LN(L20/('Read me'!$B$6+L20)))+EXP(GAMMALN(3+'Read me'!$B$6)-GAMMALN('Read me'!$B$6)-GAMMALN(3+1)+'Read me'!$B$6*LN('Read me'!$B$6/('Read me'!$B$6+L20))+3*LN(L20/('Read me'!$B$6+L20)))+EXP(GAMMALN(4+'Read me'!$B$6)-GAMMALN('Read me'!$B$6)-GAMMALN(4+1)+'Read me'!$B$6*LN('Read me'!$B$6/('Read me'!$B$6+L20))+4*LN(L20/('Read me'!$B$6+L20)))+EXP(GAMMALN(5+'Read me'!$B$6)-GAMMALN('Read me'!$B$6)-GAMMALN(5+1)+'Read me'!$B$6*LN('Read me'!$B$6/('Read me'!$B$6+L20))+5*LN(L20/('Read me'!$B$6+L20)))),"")</f>
        <v/>
      </c>
      <c r="N20" s="16">
        <f>IFERROR(EXP(GAMMALN(6+'Read me'!$B$6)-GAMMALN('Read me'!$B$6)-GAMMALN(6+1)+'Read me'!$B$6*LN('Read me'!$B$6/('Read me'!$B$6+L20))+6*LN(L20/('Read me'!$B$6+L20))),"")</f>
        <v/>
      </c>
      <c r="O20" s="17">
        <f>IFERROR((1-N20)/M20,"")</f>
        <v/>
      </c>
      <c r="P20" s="18" t="n"/>
      <c r="Q20" s="19">
        <f>IF(P20="","",P20*M20+N20-1)</f>
        <v/>
      </c>
      <c r="R20" s="20">
        <f>IF(Q20="","awaiting price",IF(Q20&gt;='Read me'!$B$7,"BET",IF(Q20&gt;=0,"thin","no bet")))</f>
        <v/>
      </c>
    </row>
    <row r="21">
      <c r="A21" s="11" t="n">
        <v>46298</v>
      </c>
      <c r="B21" s="12" t="inlineStr">
        <is>
          <t>England League One</t>
        </is>
      </c>
      <c r="C21" s="12" t="inlineStr">
        <is>
          <t>Burton Albion v Huddersfield</t>
        </is>
      </c>
      <c r="D21" s="12" t="inlineStr">
        <is>
          <t>Burton Albion</t>
        </is>
      </c>
      <c r="E21" s="12" t="inlineStr">
        <is>
          <t>Home</t>
        </is>
      </c>
      <c r="F21" s="12" t="inlineStr">
        <is>
          <t>Match under</t>
        </is>
      </c>
      <c r="G21" s="12" t="inlineStr">
        <is>
          <t>under 11 match corners</t>
        </is>
      </c>
      <c r="H21" s="12" t="n">
        <v>12</v>
      </c>
      <c r="I21" s="12" t="n">
        <v>12</v>
      </c>
      <c r="J21" s="12" t="inlineStr">
        <is>
          <t>4/4</t>
        </is>
      </c>
      <c r="K21" s="13" t="n">
        <v>8.6</v>
      </c>
      <c r="L21" s="14" t="n">
        <v>8.84</v>
      </c>
      <c r="M21" s="15">
        <f>IFERROR(POISSON(11-1,L21,TRUE),"")</f>
        <v/>
      </c>
      <c r="N21" s="16">
        <f>IFERROR(POISSON(11,L21,FALSE),"")</f>
        <v/>
      </c>
      <c r="O21" s="17">
        <f>IFERROR((1-N21)/M21,"")</f>
        <v/>
      </c>
      <c r="P21" s="18" t="n"/>
      <c r="Q21" s="19">
        <f>IF(P21="","",P21*M21+N21-1)</f>
        <v/>
      </c>
      <c r="R21" s="20">
        <f>IF(Q21="","awaiting price",IF(Q21&gt;='Read me'!$B$7,"BET",IF(Q21&gt;=0,"thin","no bet")))</f>
        <v/>
      </c>
    </row>
    <row r="22">
      <c r="A22" s="11" t="n">
        <v>46299</v>
      </c>
      <c r="B22" s="12" t="inlineStr">
        <is>
          <t>Argentina Liga Profesional</t>
        </is>
      </c>
      <c r="C22" s="12" t="inlineStr">
        <is>
          <t>Huracan v Aldosivi</t>
        </is>
      </c>
      <c r="D22" s="12" t="inlineStr">
        <is>
          <t>Huracan</t>
        </is>
      </c>
      <c r="E22" s="12" t="inlineStr">
        <is>
          <t>Home</t>
        </is>
      </c>
      <c r="F22" s="12" t="inlineStr">
        <is>
          <t>Team under</t>
        </is>
      </c>
      <c r="G22" s="12" t="inlineStr">
        <is>
          <t>under 8 team corners</t>
        </is>
      </c>
      <c r="H22" s="12" t="n">
        <v>12</v>
      </c>
      <c r="I22" s="12" t="n">
        <v>12</v>
      </c>
      <c r="J22" s="12" t="inlineStr">
        <is>
          <t>4/4</t>
        </is>
      </c>
      <c r="K22" s="13" t="n">
        <v>3.4</v>
      </c>
      <c r="L22" s="14" t="n">
        <v>5.93</v>
      </c>
      <c r="M22" s="15">
        <f>IFERROR((EXP(GAMMALN(0+'Read me'!$B$6)-GAMMALN('Read me'!$B$6)-GAMMALN(0+1)+'Read me'!$B$6*LN('Read me'!$B$6/('Read me'!$B$6+L22))+0*LN(L22/('Read me'!$B$6+L22)))+EXP(GAMMALN(1+'Read me'!$B$6)-GAMMALN('Read me'!$B$6)-GAMMALN(1+1)+'Read me'!$B$6*LN('Read me'!$B$6/('Read me'!$B$6+L22))+1*LN(L22/('Read me'!$B$6+L22)))+EXP(GAMMALN(2+'Read me'!$B$6)-GAMMALN('Read me'!$B$6)-GAMMALN(2+1)+'Read me'!$B$6*LN('Read me'!$B$6/('Read me'!$B$6+L22))+2*LN(L22/('Read me'!$B$6+L22)))+EXP(GAMMALN(3+'Read me'!$B$6)-GAMMALN('Read me'!$B$6)-GAMMALN(3+1)+'Read me'!$B$6*LN('Read me'!$B$6/('Read me'!$B$6+L22))+3*LN(L22/('Read me'!$B$6+L22)))+EXP(GAMMALN(4+'Read me'!$B$6)-GAMMALN('Read me'!$B$6)-GAMMALN(4+1)+'Read me'!$B$6*LN('Read me'!$B$6/('Read me'!$B$6+L22))+4*LN(L22/('Read me'!$B$6+L22)))+EXP(GAMMALN(5+'Read me'!$B$6)-GAMMALN('Read me'!$B$6)-GAMMALN(5+1)+'Read me'!$B$6*LN('Read me'!$B$6/('Read me'!$B$6+L22))+5*LN(L22/('Read me'!$B$6+L22)))+EXP(GAMMALN(6+'Read me'!$B$6)-GAMMALN('Read me'!$B$6)-GAMMALN(6+1)+'Read me'!$B$6*LN('Read me'!$B$6/('Read me'!$B$6+L22))+6*LN(L22/('Read me'!$B$6+L22)))+EXP(GAMMALN(7+'Read me'!$B$6)-GAMMALN('Read me'!$B$6)-GAMMALN(7+1)+'Read me'!$B$6*LN('Read me'!$B$6/('Read me'!$B$6+L22))+7*LN(L22/('Read me'!$B$6+L22)))),"")</f>
        <v/>
      </c>
      <c r="N22" s="16">
        <f>IFERROR(EXP(GAMMALN(8+'Read me'!$B$6)-GAMMALN('Read me'!$B$6)-GAMMALN(8+1)+'Read me'!$B$6*LN('Read me'!$B$6/('Read me'!$B$6+L22))+8*LN(L22/('Read me'!$B$6+L22))),"")</f>
        <v/>
      </c>
      <c r="O22" s="17">
        <f>IFERROR((1-N22)/M22,"")</f>
        <v/>
      </c>
      <c r="P22" s="18" t="n"/>
      <c r="Q22" s="19">
        <f>IF(P22="","",P22*M22+N22-1)</f>
        <v/>
      </c>
      <c r="R22" s="20">
        <f>IF(Q22="","awaiting price",IF(Q22&gt;='Read me'!$B$7,"BET",IF(Q22&gt;=0,"thin","no bet")))</f>
        <v/>
      </c>
    </row>
    <row r="23">
      <c r="A23" s="11" t="n">
        <v>46301</v>
      </c>
      <c r="B23" s="12" t="inlineStr">
        <is>
          <t>Argentina Liga Profesional</t>
        </is>
      </c>
      <c r="C23" s="12" t="inlineStr">
        <is>
          <t>Banfield v Rosario Central</t>
        </is>
      </c>
      <c r="D23" s="12" t="inlineStr">
        <is>
          <t>Banfield</t>
        </is>
      </c>
      <c r="E23" s="12" t="inlineStr">
        <is>
          <t>Home</t>
        </is>
      </c>
      <c r="F23" s="12" t="inlineStr">
        <is>
          <t>Match under</t>
        </is>
      </c>
      <c r="G23" s="12" t="inlineStr">
        <is>
          <t>under 12 match corners</t>
        </is>
      </c>
      <c r="H23" s="12" t="n">
        <v>12</v>
      </c>
      <c r="I23" s="12" t="n">
        <v>12</v>
      </c>
      <c r="J23" s="12" t="inlineStr">
        <is>
          <t>4/4</t>
        </is>
      </c>
      <c r="K23" s="13" t="n">
        <v>7.8</v>
      </c>
      <c r="L23" s="14" t="n">
        <v>8.210000000000001</v>
      </c>
      <c r="M23" s="15">
        <f>IFERROR(POISSON(12-1,L23,TRUE),"")</f>
        <v/>
      </c>
      <c r="N23" s="16">
        <f>IFERROR(POISSON(12,L23,FALSE),"")</f>
        <v/>
      </c>
      <c r="O23" s="17">
        <f>IFERROR((1-N23)/M23,"")</f>
        <v/>
      </c>
      <c r="P23" s="18" t="n"/>
      <c r="Q23" s="19">
        <f>IF(P23="","",P23*M23+N23-1)</f>
        <v/>
      </c>
      <c r="R23" s="20">
        <f>IF(Q23="","awaiting price",IF(Q23&gt;='Read me'!$B$7,"BET",IF(Q23&gt;=0,"thin","no bet")))</f>
        <v/>
      </c>
    </row>
    <row r="24">
      <c r="A24" s="11" t="n">
        <v>46298</v>
      </c>
      <c r="B24" s="12" t="inlineStr">
        <is>
          <t>Netherlands Eerste Divisie</t>
        </is>
      </c>
      <c r="C24" s="12" t="inlineStr">
        <is>
          <t>Waalwijk v Emmen</t>
        </is>
      </c>
      <c r="D24" s="12" t="inlineStr">
        <is>
          <t>Waalwijk</t>
        </is>
      </c>
      <c r="E24" s="12" t="inlineStr">
        <is>
          <t>Home</t>
        </is>
      </c>
      <c r="F24" s="12" t="inlineStr">
        <is>
          <t>Team under</t>
        </is>
      </c>
      <c r="G24" s="12" t="inlineStr">
        <is>
          <t>under 7 team corners</t>
        </is>
      </c>
      <c r="H24" s="12" t="n">
        <v>11</v>
      </c>
      <c r="I24" s="12" t="n">
        <v>11</v>
      </c>
      <c r="J24" s="12" t="inlineStr">
        <is>
          <t>4/4</t>
        </is>
      </c>
      <c r="K24" s="13" t="n">
        <v>4.6</v>
      </c>
      <c r="L24" s="14" t="n">
        <v>4.27</v>
      </c>
      <c r="M24" s="15">
        <f>IFERROR((EXP(GAMMALN(0+'Read me'!$B$6)-GAMMALN('Read me'!$B$6)-GAMMALN(0+1)+'Read me'!$B$6*LN('Read me'!$B$6/('Read me'!$B$6+L24))+0*LN(L24/('Read me'!$B$6+L24)))+EXP(GAMMALN(1+'Read me'!$B$6)-GAMMALN('Read me'!$B$6)-GAMMALN(1+1)+'Read me'!$B$6*LN('Read me'!$B$6/('Read me'!$B$6+L24))+1*LN(L24/('Read me'!$B$6+L24)))+EXP(GAMMALN(2+'Read me'!$B$6)-GAMMALN('Read me'!$B$6)-GAMMALN(2+1)+'Read me'!$B$6*LN('Read me'!$B$6/('Read me'!$B$6+L24))+2*LN(L24/('Read me'!$B$6+L24)))+EXP(GAMMALN(3+'Read me'!$B$6)-GAMMALN('Read me'!$B$6)-GAMMALN(3+1)+'Read me'!$B$6*LN('Read me'!$B$6/('Read me'!$B$6+L24))+3*LN(L24/('Read me'!$B$6+L24)))+EXP(GAMMALN(4+'Read me'!$B$6)-GAMMALN('Read me'!$B$6)-GAMMALN(4+1)+'Read me'!$B$6*LN('Read me'!$B$6/('Read me'!$B$6+L24))+4*LN(L24/('Read me'!$B$6+L24)))+EXP(GAMMALN(5+'Read me'!$B$6)-GAMMALN('Read me'!$B$6)-GAMMALN(5+1)+'Read me'!$B$6*LN('Read me'!$B$6/('Read me'!$B$6+L24))+5*LN(L24/('Read me'!$B$6+L24)))+EXP(GAMMALN(6+'Read me'!$B$6)-GAMMALN('Read me'!$B$6)-GAMMALN(6+1)+'Read me'!$B$6*LN('Read me'!$B$6/('Read me'!$B$6+L24))+6*LN(L24/('Read me'!$B$6+L24)))),"")</f>
        <v/>
      </c>
      <c r="N24" s="16">
        <f>IFERROR(EXP(GAMMALN(7+'Read me'!$B$6)-GAMMALN('Read me'!$B$6)-GAMMALN(7+1)+'Read me'!$B$6*LN('Read me'!$B$6/('Read me'!$B$6+L24))+7*LN(L24/('Read me'!$B$6+L24))),"")</f>
        <v/>
      </c>
      <c r="O24" s="17">
        <f>IFERROR((1-N24)/M24,"")</f>
        <v/>
      </c>
      <c r="P24" s="18" t="n"/>
      <c r="Q24" s="19">
        <f>IF(P24="","",P24*M24+N24-1)</f>
        <v/>
      </c>
      <c r="R24" s="20">
        <f>IF(Q24="","awaiting price",IF(Q24&gt;='Read me'!$B$7,"BET",IF(Q24&gt;=0,"thin","no bet")))</f>
        <v/>
      </c>
    </row>
    <row r="25">
      <c r="A25" s="11" t="n">
        <v>46298</v>
      </c>
      <c r="B25" s="12" t="inlineStr">
        <is>
          <t>England League Two</t>
        </is>
      </c>
      <c r="C25" s="12" t="inlineStr">
        <is>
          <t>Chesterfield v Tranmere</t>
        </is>
      </c>
      <c r="D25" s="12" t="inlineStr">
        <is>
          <t>Tranmere</t>
        </is>
      </c>
      <c r="E25" s="12" t="inlineStr">
        <is>
          <t>Away</t>
        </is>
      </c>
      <c r="F25" s="12" t="inlineStr">
        <is>
          <t>Match under</t>
        </is>
      </c>
      <c r="G25" s="12" t="inlineStr">
        <is>
          <t>under 12 match corners</t>
        </is>
      </c>
      <c r="H25" s="12" t="n">
        <v>11</v>
      </c>
      <c r="I25" s="12" t="n">
        <v>11</v>
      </c>
      <c r="J25" s="12" t="inlineStr">
        <is>
          <t>4/4</t>
        </is>
      </c>
      <c r="K25" s="13" t="n">
        <v>9.4</v>
      </c>
      <c r="L25" s="14" t="n">
        <v>9.83</v>
      </c>
      <c r="M25" s="15">
        <f>IFERROR(POISSON(12-1,L25,TRUE),"")</f>
        <v/>
      </c>
      <c r="N25" s="16">
        <f>IFERROR(POISSON(12,L25,FALSE),"")</f>
        <v/>
      </c>
      <c r="O25" s="17">
        <f>IFERROR((1-N25)/M25,"")</f>
        <v/>
      </c>
      <c r="P25" s="18" t="n"/>
      <c r="Q25" s="19">
        <f>IF(P25="","",P25*M25+N25-1)</f>
        <v/>
      </c>
      <c r="R25" s="20">
        <f>IF(Q25="","awaiting price",IF(Q25&gt;='Read me'!$B$7,"BET",IF(Q25&gt;=0,"thin","no bet")))</f>
        <v/>
      </c>
    </row>
    <row r="26">
      <c r="A26" s="11" t="n">
        <v>46302</v>
      </c>
      <c r="B26" s="12" t="inlineStr">
        <is>
          <t>Brazil Série A</t>
        </is>
      </c>
      <c r="C26" s="12" t="inlineStr">
        <is>
          <t>Internacional v Corinthians</t>
        </is>
      </c>
      <c r="D26" s="12" t="inlineStr">
        <is>
          <t>Internacional</t>
        </is>
      </c>
      <c r="E26" s="12" t="inlineStr">
        <is>
          <t>Home</t>
        </is>
      </c>
      <c r="F26" s="12" t="inlineStr">
        <is>
          <t>Team under</t>
        </is>
      </c>
      <c r="G26" s="12" t="inlineStr">
        <is>
          <t>under 7 team corners</t>
        </is>
      </c>
      <c r="H26" s="12" t="n">
        <v>11</v>
      </c>
      <c r="I26" s="12" t="n">
        <v>11</v>
      </c>
      <c r="J26" s="12" t="inlineStr">
        <is>
          <t>4/4</t>
        </is>
      </c>
      <c r="K26" s="13" t="n">
        <v>4</v>
      </c>
      <c r="L26" s="14" t="n">
        <v>5.72</v>
      </c>
      <c r="M26" s="15">
        <f>IFERROR((EXP(GAMMALN(0+'Read me'!$B$6)-GAMMALN('Read me'!$B$6)-GAMMALN(0+1)+'Read me'!$B$6*LN('Read me'!$B$6/('Read me'!$B$6+L26))+0*LN(L26/('Read me'!$B$6+L26)))+EXP(GAMMALN(1+'Read me'!$B$6)-GAMMALN('Read me'!$B$6)-GAMMALN(1+1)+'Read me'!$B$6*LN('Read me'!$B$6/('Read me'!$B$6+L26))+1*LN(L26/('Read me'!$B$6+L26)))+EXP(GAMMALN(2+'Read me'!$B$6)-GAMMALN('Read me'!$B$6)-GAMMALN(2+1)+'Read me'!$B$6*LN('Read me'!$B$6/('Read me'!$B$6+L26))+2*LN(L26/('Read me'!$B$6+L26)))+EXP(GAMMALN(3+'Read me'!$B$6)-GAMMALN('Read me'!$B$6)-GAMMALN(3+1)+'Read me'!$B$6*LN('Read me'!$B$6/('Read me'!$B$6+L26))+3*LN(L26/('Read me'!$B$6+L26)))+EXP(GAMMALN(4+'Read me'!$B$6)-GAMMALN('Read me'!$B$6)-GAMMALN(4+1)+'Read me'!$B$6*LN('Read me'!$B$6/('Read me'!$B$6+L26))+4*LN(L26/('Read me'!$B$6+L26)))+EXP(GAMMALN(5+'Read me'!$B$6)-GAMMALN('Read me'!$B$6)-GAMMALN(5+1)+'Read me'!$B$6*LN('Read me'!$B$6/('Read me'!$B$6+L26))+5*LN(L26/('Read me'!$B$6+L26)))+EXP(GAMMALN(6+'Read me'!$B$6)-GAMMALN('Read me'!$B$6)-GAMMALN(6+1)+'Read me'!$B$6*LN('Read me'!$B$6/('Read me'!$B$6+L26))+6*LN(L26/('Read me'!$B$6+L26)))),"")</f>
        <v/>
      </c>
      <c r="N26" s="16">
        <f>IFERROR(EXP(GAMMALN(7+'Read me'!$B$6)-GAMMALN('Read me'!$B$6)-GAMMALN(7+1)+'Read me'!$B$6*LN('Read me'!$B$6/('Read me'!$B$6+L26))+7*LN(L26/('Read me'!$B$6+L26))),"")</f>
        <v/>
      </c>
      <c r="O26" s="17">
        <f>IFERROR((1-N26)/M26,"")</f>
        <v/>
      </c>
      <c r="P26" s="18" t="n"/>
      <c r="Q26" s="19">
        <f>IF(P26="","",P26*M26+N26-1)</f>
        <v/>
      </c>
      <c r="R26" s="20">
        <f>IF(Q26="","awaiting price",IF(Q26&gt;='Read me'!$B$7,"BET",IF(Q26&gt;=0,"thin","no bet")))</f>
        <v/>
      </c>
    </row>
    <row r="27">
      <c r="A27" s="11" t="n">
        <v>46297</v>
      </c>
      <c r="B27" s="12" t="inlineStr">
        <is>
          <t>Brazil Série B</t>
        </is>
      </c>
      <c r="C27" s="12" t="inlineStr">
        <is>
          <t>Juventude v Operario-PR</t>
        </is>
      </c>
      <c r="D27" s="12" t="inlineStr">
        <is>
          <t>Juventude</t>
        </is>
      </c>
      <c r="E27" s="12" t="inlineStr">
        <is>
          <t>Home</t>
        </is>
      </c>
      <c r="F27" s="12" t="inlineStr">
        <is>
          <t>Team under</t>
        </is>
      </c>
      <c r="G27" s="12" t="inlineStr">
        <is>
          <t>under 7 team corners</t>
        </is>
      </c>
      <c r="H27" s="12" t="n">
        <v>10</v>
      </c>
      <c r="I27" s="12" t="n">
        <v>10</v>
      </c>
      <c r="J27" s="12" t="inlineStr">
        <is>
          <t>4/4</t>
        </is>
      </c>
      <c r="K27" s="13" t="n">
        <v>3.6</v>
      </c>
      <c r="L27" s="14" t="n">
        <v>5.83</v>
      </c>
      <c r="M27" s="15">
        <f>IFERROR((EXP(GAMMALN(0+'Read me'!$B$6)-GAMMALN('Read me'!$B$6)-GAMMALN(0+1)+'Read me'!$B$6*LN('Read me'!$B$6/('Read me'!$B$6+L27))+0*LN(L27/('Read me'!$B$6+L27)))+EXP(GAMMALN(1+'Read me'!$B$6)-GAMMALN('Read me'!$B$6)-GAMMALN(1+1)+'Read me'!$B$6*LN('Read me'!$B$6/('Read me'!$B$6+L27))+1*LN(L27/('Read me'!$B$6+L27)))+EXP(GAMMALN(2+'Read me'!$B$6)-GAMMALN('Read me'!$B$6)-GAMMALN(2+1)+'Read me'!$B$6*LN('Read me'!$B$6/('Read me'!$B$6+L27))+2*LN(L27/('Read me'!$B$6+L27)))+EXP(GAMMALN(3+'Read me'!$B$6)-GAMMALN('Read me'!$B$6)-GAMMALN(3+1)+'Read me'!$B$6*LN('Read me'!$B$6/('Read me'!$B$6+L27))+3*LN(L27/('Read me'!$B$6+L27)))+EXP(GAMMALN(4+'Read me'!$B$6)-GAMMALN('Read me'!$B$6)-GAMMALN(4+1)+'Read me'!$B$6*LN('Read me'!$B$6/('Read me'!$B$6+L27))+4*LN(L27/('Read me'!$B$6+L27)))+EXP(GAMMALN(5+'Read me'!$B$6)-GAMMALN('Read me'!$B$6)-GAMMALN(5+1)+'Read me'!$B$6*LN('Read me'!$B$6/('Read me'!$B$6+L27))+5*LN(L27/('Read me'!$B$6+L27)))+EXP(GAMMALN(6+'Read me'!$B$6)-GAMMALN('Read me'!$B$6)-GAMMALN(6+1)+'Read me'!$B$6*LN('Read me'!$B$6/('Read me'!$B$6+L27))+6*LN(L27/('Read me'!$B$6+L27)))),"")</f>
        <v/>
      </c>
      <c r="N27" s="16">
        <f>IFERROR(EXP(GAMMALN(7+'Read me'!$B$6)-GAMMALN('Read me'!$B$6)-GAMMALN(7+1)+'Read me'!$B$6*LN('Read me'!$B$6/('Read me'!$B$6+L27))+7*LN(L27/('Read me'!$B$6+L27))),"")</f>
        <v/>
      </c>
      <c r="O27" s="17">
        <f>IFERROR((1-N27)/M27,"")</f>
        <v/>
      </c>
      <c r="P27" s="18" t="n"/>
      <c r="Q27" s="19">
        <f>IF(P27="","",P27*M27+N27-1)</f>
        <v/>
      </c>
      <c r="R27" s="20">
        <f>IF(Q27="","awaiting price",IF(Q27&gt;='Read me'!$B$7,"BET",IF(Q27&gt;=0,"thin","no bet")))</f>
        <v/>
      </c>
    </row>
    <row r="28">
      <c r="A28" s="11" t="n">
        <v>46297</v>
      </c>
      <c r="B28" s="12" t="inlineStr">
        <is>
          <t>Brazil Série B</t>
        </is>
      </c>
      <c r="C28" s="12" t="inlineStr">
        <is>
          <t>São Bernardo v CRB</t>
        </is>
      </c>
      <c r="D28" s="12" t="inlineStr">
        <is>
          <t>CRB</t>
        </is>
      </c>
      <c r="E28" s="12" t="inlineStr">
        <is>
          <t>Away</t>
        </is>
      </c>
      <c r="F28" s="12" t="inlineStr">
        <is>
          <t>Team under</t>
        </is>
      </c>
      <c r="G28" s="12" t="inlineStr">
        <is>
          <t>under 7 team corners</t>
        </is>
      </c>
      <c r="H28" s="12" t="n">
        <v>10</v>
      </c>
      <c r="I28" s="12" t="n">
        <v>10</v>
      </c>
      <c r="J28" s="12" t="inlineStr">
        <is>
          <t>3/3</t>
        </is>
      </c>
      <c r="K28" s="13" t="n">
        <v>6.2</v>
      </c>
      <c r="L28" s="14" t="n">
        <v>5.83</v>
      </c>
      <c r="M28" s="15">
        <f>IFERROR((EXP(GAMMALN(0+'Read me'!$B$6)-GAMMALN('Read me'!$B$6)-GAMMALN(0+1)+'Read me'!$B$6*LN('Read me'!$B$6/('Read me'!$B$6+L28))+0*LN(L28/('Read me'!$B$6+L28)))+EXP(GAMMALN(1+'Read me'!$B$6)-GAMMALN('Read me'!$B$6)-GAMMALN(1+1)+'Read me'!$B$6*LN('Read me'!$B$6/('Read me'!$B$6+L28))+1*LN(L28/('Read me'!$B$6+L28)))+EXP(GAMMALN(2+'Read me'!$B$6)-GAMMALN('Read me'!$B$6)-GAMMALN(2+1)+'Read me'!$B$6*LN('Read me'!$B$6/('Read me'!$B$6+L28))+2*LN(L28/('Read me'!$B$6+L28)))+EXP(GAMMALN(3+'Read me'!$B$6)-GAMMALN('Read me'!$B$6)-GAMMALN(3+1)+'Read me'!$B$6*LN('Read me'!$B$6/('Read me'!$B$6+L28))+3*LN(L28/('Read me'!$B$6+L28)))+EXP(GAMMALN(4+'Read me'!$B$6)-GAMMALN('Read me'!$B$6)-GAMMALN(4+1)+'Read me'!$B$6*LN('Read me'!$B$6/('Read me'!$B$6+L28))+4*LN(L28/('Read me'!$B$6+L28)))+EXP(GAMMALN(5+'Read me'!$B$6)-GAMMALN('Read me'!$B$6)-GAMMALN(5+1)+'Read me'!$B$6*LN('Read me'!$B$6/('Read me'!$B$6+L28))+5*LN(L28/('Read me'!$B$6+L28)))+EXP(GAMMALN(6+'Read me'!$B$6)-GAMMALN('Read me'!$B$6)-GAMMALN(6+1)+'Read me'!$B$6*LN('Read me'!$B$6/('Read me'!$B$6+L28))+6*LN(L28/('Read me'!$B$6+L28)))),"")</f>
        <v/>
      </c>
      <c r="N28" s="16">
        <f>IFERROR(EXP(GAMMALN(7+'Read me'!$B$6)-GAMMALN('Read me'!$B$6)-GAMMALN(7+1)+'Read me'!$B$6*LN('Read me'!$B$6/('Read me'!$B$6+L28))+7*LN(L28/('Read me'!$B$6+L28))),"")</f>
        <v/>
      </c>
      <c r="O28" s="17">
        <f>IFERROR((1-N28)/M28,"")</f>
        <v/>
      </c>
      <c r="P28" s="18" t="n"/>
      <c r="Q28" s="19">
        <f>IF(P28="","",P28*M28+N28-1)</f>
        <v/>
      </c>
      <c r="R28" s="20">
        <f>IF(Q28="","awaiting price",IF(Q28&gt;='Read me'!$B$7,"BET",IF(Q28&gt;=0,"thin","no bet")))</f>
        <v/>
      </c>
    </row>
    <row r="29">
      <c r="A29" s="11" t="n">
        <v>46298</v>
      </c>
      <c r="B29" s="12" t="inlineStr">
        <is>
          <t>England League Two</t>
        </is>
      </c>
      <c r="C29" s="12" t="inlineStr">
        <is>
          <t>Walsall v Crawley Town</t>
        </is>
      </c>
      <c r="D29" s="12" t="inlineStr">
        <is>
          <t>Walsall</t>
        </is>
      </c>
      <c r="E29" s="12" t="inlineStr">
        <is>
          <t>Home</t>
        </is>
      </c>
      <c r="F29" s="12" t="inlineStr">
        <is>
          <t>Team over</t>
        </is>
      </c>
      <c r="G29" s="12" t="inlineStr">
        <is>
          <t>4+ team corners</t>
        </is>
      </c>
      <c r="H29" s="12" t="n">
        <v>10</v>
      </c>
      <c r="I29" s="12" t="n">
        <v>10</v>
      </c>
      <c r="J29" s="12" t="inlineStr">
        <is>
          <t>5/5</t>
        </is>
      </c>
      <c r="K29" s="13" t="n">
        <v>6.2</v>
      </c>
      <c r="L29" s="14" t="n">
        <v>5.5</v>
      </c>
      <c r="M29" s="15">
        <f>IFERROR(1-(EXP(GAMMALN(0+'Read me'!$B$6)-GAMMALN('Read me'!$B$6)-GAMMALN(0+1)+'Read me'!$B$6*LN('Read me'!$B$6/('Read me'!$B$6+L29))+0*LN(L29/('Read me'!$B$6+L29)))+EXP(GAMMALN(1+'Read me'!$B$6)-GAMMALN('Read me'!$B$6)-GAMMALN(1+1)+'Read me'!$B$6*LN('Read me'!$B$6/('Read me'!$B$6+L29))+1*LN(L29/('Read me'!$B$6+L29)))+EXP(GAMMALN(2+'Read me'!$B$6)-GAMMALN('Read me'!$B$6)-GAMMALN(2+1)+'Read me'!$B$6*LN('Read me'!$B$6/('Read me'!$B$6+L29))+2*LN(L29/('Read me'!$B$6+L29)))+EXP(GAMMALN(3+'Read me'!$B$6)-GAMMALN('Read me'!$B$6)-GAMMALN(3+1)+'Read me'!$B$6*LN('Read me'!$B$6/('Read me'!$B$6+L29))+3*LN(L29/('Read me'!$B$6+L29)))),"")</f>
        <v/>
      </c>
      <c r="N29" s="16" t="n">
        <v>0</v>
      </c>
      <c r="O29" s="17">
        <f>IFERROR(1/M29,"")</f>
        <v/>
      </c>
      <c r="P29" s="18" t="n"/>
      <c r="Q29" s="19">
        <f>IF(P29="","",P29*M29-1)</f>
        <v/>
      </c>
      <c r="R29" s="20">
        <f>IF(Q29="","awaiting price",IF(Q29&gt;='Read me'!$B$7,"BET",IF(Q29&gt;=0,"thin","no bet")))</f>
        <v/>
      </c>
    </row>
    <row r="30">
      <c r="A30" s="11" t="n">
        <v>46298</v>
      </c>
      <c r="B30" s="12" t="inlineStr">
        <is>
          <t>England League One</t>
        </is>
      </c>
      <c r="C30" s="12" t="inlineStr">
        <is>
          <t>Burton Albion v Huddersfield</t>
        </is>
      </c>
      <c r="D30" s="12" t="inlineStr">
        <is>
          <t>Burton Albion</t>
        </is>
      </c>
      <c r="E30" s="12" t="inlineStr">
        <is>
          <t>Home</t>
        </is>
      </c>
      <c r="F30" s="12" t="inlineStr">
        <is>
          <t>Team under</t>
        </is>
      </c>
      <c r="G30" s="12" t="inlineStr">
        <is>
          <t>under 5 team corners</t>
        </is>
      </c>
      <c r="H30" s="12" t="n">
        <v>10</v>
      </c>
      <c r="I30" s="12" t="n">
        <v>10</v>
      </c>
      <c r="J30" s="12" t="inlineStr">
        <is>
          <t>4/4</t>
        </is>
      </c>
      <c r="K30" s="13" t="n">
        <v>3.8</v>
      </c>
      <c r="L30" s="14" t="n">
        <v>4.52</v>
      </c>
      <c r="M30" s="15">
        <f>IFERROR((EXP(GAMMALN(0+'Read me'!$B$6)-GAMMALN('Read me'!$B$6)-GAMMALN(0+1)+'Read me'!$B$6*LN('Read me'!$B$6/('Read me'!$B$6+L30))+0*LN(L30/('Read me'!$B$6+L30)))+EXP(GAMMALN(1+'Read me'!$B$6)-GAMMALN('Read me'!$B$6)-GAMMALN(1+1)+'Read me'!$B$6*LN('Read me'!$B$6/('Read me'!$B$6+L30))+1*LN(L30/('Read me'!$B$6+L30)))+EXP(GAMMALN(2+'Read me'!$B$6)-GAMMALN('Read me'!$B$6)-GAMMALN(2+1)+'Read me'!$B$6*LN('Read me'!$B$6/('Read me'!$B$6+L30))+2*LN(L30/('Read me'!$B$6+L30)))+EXP(GAMMALN(3+'Read me'!$B$6)-GAMMALN('Read me'!$B$6)-GAMMALN(3+1)+'Read me'!$B$6*LN('Read me'!$B$6/('Read me'!$B$6+L30))+3*LN(L30/('Read me'!$B$6+L30)))+EXP(GAMMALN(4+'Read me'!$B$6)-GAMMALN('Read me'!$B$6)-GAMMALN(4+1)+'Read me'!$B$6*LN('Read me'!$B$6/('Read me'!$B$6+L30))+4*LN(L30/('Read me'!$B$6+L30)))),"")</f>
        <v/>
      </c>
      <c r="N30" s="16">
        <f>IFERROR(EXP(GAMMALN(5+'Read me'!$B$6)-GAMMALN('Read me'!$B$6)-GAMMALN(5+1)+'Read me'!$B$6*LN('Read me'!$B$6/('Read me'!$B$6+L30))+5*LN(L30/('Read me'!$B$6+L30))),"")</f>
        <v/>
      </c>
      <c r="O30" s="17">
        <f>IFERROR((1-N30)/M30,"")</f>
        <v/>
      </c>
      <c r="P30" s="18" t="n"/>
      <c r="Q30" s="19">
        <f>IF(P30="","",P30*M30+N30-1)</f>
        <v/>
      </c>
      <c r="R30" s="20">
        <f>IF(Q30="","awaiting price",IF(Q30&gt;='Read me'!$B$7,"BET",IF(Q30&gt;=0,"thin","no bet")))</f>
        <v/>
      </c>
    </row>
    <row r="31">
      <c r="A31" s="11" t="n">
        <v>46298</v>
      </c>
      <c r="B31" s="12" t="inlineStr">
        <is>
          <t>Argentina Liga Profesional</t>
        </is>
      </c>
      <c r="C31" s="12" t="inlineStr">
        <is>
          <t>Independ. Rivadavia v Gimnasia L.P.</t>
        </is>
      </c>
      <c r="D31" s="12" t="inlineStr">
        <is>
          <t>Gimnasia L.P.</t>
        </is>
      </c>
      <c r="E31" s="12" t="inlineStr">
        <is>
          <t>Away</t>
        </is>
      </c>
      <c r="F31" s="12" t="inlineStr">
        <is>
          <t>Team under</t>
        </is>
      </c>
      <c r="G31" s="12" t="inlineStr">
        <is>
          <t>under 5 team corners</t>
        </is>
      </c>
      <c r="H31" s="12" t="n">
        <v>10</v>
      </c>
      <c r="I31" s="12" t="n">
        <v>10</v>
      </c>
      <c r="J31" s="12" t="inlineStr">
        <is>
          <t>3/3</t>
        </is>
      </c>
      <c r="K31" s="13" t="n">
        <v>3.8</v>
      </c>
      <c r="L31" s="14" t="n">
        <v>3.79</v>
      </c>
      <c r="M31" s="15">
        <f>IFERROR((EXP(GAMMALN(0+'Read me'!$B$6)-GAMMALN('Read me'!$B$6)-GAMMALN(0+1)+'Read me'!$B$6*LN('Read me'!$B$6/('Read me'!$B$6+L31))+0*LN(L31/('Read me'!$B$6+L31)))+EXP(GAMMALN(1+'Read me'!$B$6)-GAMMALN('Read me'!$B$6)-GAMMALN(1+1)+'Read me'!$B$6*LN('Read me'!$B$6/('Read me'!$B$6+L31))+1*LN(L31/('Read me'!$B$6+L31)))+EXP(GAMMALN(2+'Read me'!$B$6)-GAMMALN('Read me'!$B$6)-GAMMALN(2+1)+'Read me'!$B$6*LN('Read me'!$B$6/('Read me'!$B$6+L31))+2*LN(L31/('Read me'!$B$6+L31)))+EXP(GAMMALN(3+'Read me'!$B$6)-GAMMALN('Read me'!$B$6)-GAMMALN(3+1)+'Read me'!$B$6*LN('Read me'!$B$6/('Read me'!$B$6+L31))+3*LN(L31/('Read me'!$B$6+L31)))+EXP(GAMMALN(4+'Read me'!$B$6)-GAMMALN('Read me'!$B$6)-GAMMALN(4+1)+'Read me'!$B$6*LN('Read me'!$B$6/('Read me'!$B$6+L31))+4*LN(L31/('Read me'!$B$6+L31)))),"")</f>
        <v/>
      </c>
      <c r="N31" s="16">
        <f>IFERROR(EXP(GAMMALN(5+'Read me'!$B$6)-GAMMALN('Read me'!$B$6)-GAMMALN(5+1)+'Read me'!$B$6*LN('Read me'!$B$6/('Read me'!$B$6+L31))+5*LN(L31/('Read me'!$B$6+L31))),"")</f>
        <v/>
      </c>
      <c r="O31" s="17">
        <f>IFERROR((1-N31)/M31,"")</f>
        <v/>
      </c>
      <c r="P31" s="18" t="n"/>
      <c r="Q31" s="19">
        <f>IF(P31="","",P31*M31+N31-1)</f>
        <v/>
      </c>
      <c r="R31" s="20">
        <f>IF(Q31="","awaiting price",IF(Q31&gt;='Read me'!$B$7,"BET",IF(Q31&gt;=0,"thin","no bet")))</f>
        <v/>
      </c>
    </row>
    <row r="32">
      <c r="A32" s="11" t="n">
        <v>46298</v>
      </c>
      <c r="B32" s="12" t="inlineStr">
        <is>
          <t>England League Two</t>
        </is>
      </c>
      <c r="C32" s="12" t="inlineStr">
        <is>
          <t>Chesterfield v Tranmere</t>
        </is>
      </c>
      <c r="D32" s="12" t="inlineStr">
        <is>
          <t>Tranmere</t>
        </is>
      </c>
      <c r="E32" s="12" t="inlineStr">
        <is>
          <t>Away</t>
        </is>
      </c>
      <c r="F32" s="12" t="inlineStr">
        <is>
          <t>Team under</t>
        </is>
      </c>
      <c r="G32" s="12" t="inlineStr">
        <is>
          <t>under 6 team corners</t>
        </is>
      </c>
      <c r="H32" s="12" t="n">
        <v>10</v>
      </c>
      <c r="I32" s="12" t="n">
        <v>10</v>
      </c>
      <c r="J32" s="12" t="inlineStr">
        <is>
          <t>4/4</t>
        </is>
      </c>
      <c r="K32" s="13" t="n">
        <v>3.4</v>
      </c>
      <c r="L32" s="14" t="n">
        <v>3.88</v>
      </c>
      <c r="M32" s="15">
        <f>IFERROR((EXP(GAMMALN(0+'Read me'!$B$6)-GAMMALN('Read me'!$B$6)-GAMMALN(0+1)+'Read me'!$B$6*LN('Read me'!$B$6/('Read me'!$B$6+L32))+0*LN(L32/('Read me'!$B$6+L32)))+EXP(GAMMALN(1+'Read me'!$B$6)-GAMMALN('Read me'!$B$6)-GAMMALN(1+1)+'Read me'!$B$6*LN('Read me'!$B$6/('Read me'!$B$6+L32))+1*LN(L32/('Read me'!$B$6+L32)))+EXP(GAMMALN(2+'Read me'!$B$6)-GAMMALN('Read me'!$B$6)-GAMMALN(2+1)+'Read me'!$B$6*LN('Read me'!$B$6/('Read me'!$B$6+L32))+2*LN(L32/('Read me'!$B$6+L32)))+EXP(GAMMALN(3+'Read me'!$B$6)-GAMMALN('Read me'!$B$6)-GAMMALN(3+1)+'Read me'!$B$6*LN('Read me'!$B$6/('Read me'!$B$6+L32))+3*LN(L32/('Read me'!$B$6+L32)))+EXP(GAMMALN(4+'Read me'!$B$6)-GAMMALN('Read me'!$B$6)-GAMMALN(4+1)+'Read me'!$B$6*LN('Read me'!$B$6/('Read me'!$B$6+L32))+4*LN(L32/('Read me'!$B$6+L32)))+EXP(GAMMALN(5+'Read me'!$B$6)-GAMMALN('Read me'!$B$6)-GAMMALN(5+1)+'Read me'!$B$6*LN('Read me'!$B$6/('Read me'!$B$6+L32))+5*LN(L32/('Read me'!$B$6+L32)))),"")</f>
        <v/>
      </c>
      <c r="N32" s="16">
        <f>IFERROR(EXP(GAMMALN(6+'Read me'!$B$6)-GAMMALN('Read me'!$B$6)-GAMMALN(6+1)+'Read me'!$B$6*LN('Read me'!$B$6/('Read me'!$B$6+L32))+6*LN(L32/('Read me'!$B$6+L32))),"")</f>
        <v/>
      </c>
      <c r="O32" s="17">
        <f>IFERROR((1-N32)/M32,"")</f>
        <v/>
      </c>
      <c r="P32" s="18" t="n"/>
      <c r="Q32" s="19">
        <f>IF(P32="","",P32*M32+N32-1)</f>
        <v/>
      </c>
      <c r="R32" s="20">
        <f>IF(Q32="","awaiting price",IF(Q32&gt;='Read me'!$B$7,"BET",IF(Q32&gt;=0,"thin","no bet")))</f>
        <v/>
      </c>
    </row>
    <row r="33">
      <c r="A33" s="11" t="n">
        <v>46303</v>
      </c>
      <c r="B33" s="12" t="inlineStr">
        <is>
          <t>Brazil Série A</t>
        </is>
      </c>
      <c r="C33" s="12" t="inlineStr">
        <is>
          <t>Atletico Paranaense v Atletico-MG</t>
        </is>
      </c>
      <c r="D33" s="12" t="inlineStr">
        <is>
          <t>Atletico Paranaense</t>
        </is>
      </c>
      <c r="E33" s="12" t="inlineStr">
        <is>
          <t>Home</t>
        </is>
      </c>
      <c r="F33" s="12" t="inlineStr">
        <is>
          <t>Team under</t>
        </is>
      </c>
      <c r="G33" s="12" t="inlineStr">
        <is>
          <t>under 8 team corners</t>
        </is>
      </c>
      <c r="H33" s="12" t="n">
        <v>10</v>
      </c>
      <c r="I33" s="12" t="n">
        <v>10</v>
      </c>
      <c r="J33" s="12" t="inlineStr">
        <is>
          <t>4/4</t>
        </is>
      </c>
      <c r="K33" s="13" t="n">
        <v>4.2</v>
      </c>
      <c r="L33" s="14" t="n">
        <v>6.02</v>
      </c>
      <c r="M33" s="15">
        <f>IFERROR((EXP(GAMMALN(0+'Read me'!$B$6)-GAMMALN('Read me'!$B$6)-GAMMALN(0+1)+'Read me'!$B$6*LN('Read me'!$B$6/('Read me'!$B$6+L33))+0*LN(L33/('Read me'!$B$6+L33)))+EXP(GAMMALN(1+'Read me'!$B$6)-GAMMALN('Read me'!$B$6)-GAMMALN(1+1)+'Read me'!$B$6*LN('Read me'!$B$6/('Read me'!$B$6+L33))+1*LN(L33/('Read me'!$B$6+L33)))+EXP(GAMMALN(2+'Read me'!$B$6)-GAMMALN('Read me'!$B$6)-GAMMALN(2+1)+'Read me'!$B$6*LN('Read me'!$B$6/('Read me'!$B$6+L33))+2*LN(L33/('Read me'!$B$6+L33)))+EXP(GAMMALN(3+'Read me'!$B$6)-GAMMALN('Read me'!$B$6)-GAMMALN(3+1)+'Read me'!$B$6*LN('Read me'!$B$6/('Read me'!$B$6+L33))+3*LN(L33/('Read me'!$B$6+L33)))+EXP(GAMMALN(4+'Read me'!$B$6)-GAMMALN('Read me'!$B$6)-GAMMALN(4+1)+'Read me'!$B$6*LN('Read me'!$B$6/('Read me'!$B$6+L33))+4*LN(L33/('Read me'!$B$6+L33)))+EXP(GAMMALN(5+'Read me'!$B$6)-GAMMALN('Read me'!$B$6)-GAMMALN(5+1)+'Read me'!$B$6*LN('Read me'!$B$6/('Read me'!$B$6+L33))+5*LN(L33/('Read me'!$B$6+L33)))+EXP(GAMMALN(6+'Read me'!$B$6)-GAMMALN('Read me'!$B$6)-GAMMALN(6+1)+'Read me'!$B$6*LN('Read me'!$B$6/('Read me'!$B$6+L33))+6*LN(L33/('Read me'!$B$6+L33)))+EXP(GAMMALN(7+'Read me'!$B$6)-GAMMALN('Read me'!$B$6)-GAMMALN(7+1)+'Read me'!$B$6*LN('Read me'!$B$6/('Read me'!$B$6+L33))+7*LN(L33/('Read me'!$B$6+L33)))),"")</f>
        <v/>
      </c>
      <c r="N33" s="16">
        <f>IFERROR(EXP(GAMMALN(8+'Read me'!$B$6)-GAMMALN('Read me'!$B$6)-GAMMALN(8+1)+'Read me'!$B$6*LN('Read me'!$B$6/('Read me'!$B$6+L33))+8*LN(L33/('Read me'!$B$6+L33))),"")</f>
        <v/>
      </c>
      <c r="O33" s="17">
        <f>IFERROR((1-N33)/M33,"")</f>
        <v/>
      </c>
      <c r="P33" s="18" t="n"/>
      <c r="Q33" s="19">
        <f>IF(P33="","",P33*M33+N33-1)</f>
        <v/>
      </c>
      <c r="R33" s="20">
        <f>IF(Q33="","awaiting price",IF(Q33&gt;='Read me'!$B$7,"BET",IF(Q33&gt;=0,"thin","no bet")))</f>
        <v/>
      </c>
    </row>
    <row r="34">
      <c r="A34" s="11" t="n">
        <v>46297</v>
      </c>
      <c r="B34" s="12" t="inlineStr">
        <is>
          <t>Brazil Série B</t>
        </is>
      </c>
      <c r="C34" s="12" t="inlineStr">
        <is>
          <t>Novorizontino v Goias</t>
        </is>
      </c>
      <c r="D34" s="12" t="inlineStr">
        <is>
          <t>Goias</t>
        </is>
      </c>
      <c r="E34" s="12" t="inlineStr">
        <is>
          <t>Away</t>
        </is>
      </c>
      <c r="F34" s="12" t="inlineStr">
        <is>
          <t>Team under</t>
        </is>
      </c>
      <c r="G34" s="12" t="inlineStr">
        <is>
          <t>under 8 team corners</t>
        </is>
      </c>
      <c r="H34" s="12" t="n">
        <v>9</v>
      </c>
      <c r="I34" s="12" t="n">
        <v>9</v>
      </c>
      <c r="J34" s="12" t="inlineStr">
        <is>
          <t>4/4</t>
        </is>
      </c>
      <c r="K34" s="13" t="n">
        <v>6.6</v>
      </c>
      <c r="L34" s="14" t="n">
        <v>3.95</v>
      </c>
      <c r="M34" s="15">
        <f>IFERROR((EXP(GAMMALN(0+'Read me'!$B$6)-GAMMALN('Read me'!$B$6)-GAMMALN(0+1)+'Read me'!$B$6*LN('Read me'!$B$6/('Read me'!$B$6+L34))+0*LN(L34/('Read me'!$B$6+L34)))+EXP(GAMMALN(1+'Read me'!$B$6)-GAMMALN('Read me'!$B$6)-GAMMALN(1+1)+'Read me'!$B$6*LN('Read me'!$B$6/('Read me'!$B$6+L34))+1*LN(L34/('Read me'!$B$6+L34)))+EXP(GAMMALN(2+'Read me'!$B$6)-GAMMALN('Read me'!$B$6)-GAMMALN(2+1)+'Read me'!$B$6*LN('Read me'!$B$6/('Read me'!$B$6+L34))+2*LN(L34/('Read me'!$B$6+L34)))+EXP(GAMMALN(3+'Read me'!$B$6)-GAMMALN('Read me'!$B$6)-GAMMALN(3+1)+'Read me'!$B$6*LN('Read me'!$B$6/('Read me'!$B$6+L34))+3*LN(L34/('Read me'!$B$6+L34)))+EXP(GAMMALN(4+'Read me'!$B$6)-GAMMALN('Read me'!$B$6)-GAMMALN(4+1)+'Read me'!$B$6*LN('Read me'!$B$6/('Read me'!$B$6+L34))+4*LN(L34/('Read me'!$B$6+L34)))+EXP(GAMMALN(5+'Read me'!$B$6)-GAMMALN('Read me'!$B$6)-GAMMALN(5+1)+'Read me'!$B$6*LN('Read me'!$B$6/('Read me'!$B$6+L34))+5*LN(L34/('Read me'!$B$6+L34)))+EXP(GAMMALN(6+'Read me'!$B$6)-GAMMALN('Read me'!$B$6)-GAMMALN(6+1)+'Read me'!$B$6*LN('Read me'!$B$6/('Read me'!$B$6+L34))+6*LN(L34/('Read me'!$B$6+L34)))+EXP(GAMMALN(7+'Read me'!$B$6)-GAMMALN('Read me'!$B$6)-GAMMALN(7+1)+'Read me'!$B$6*LN('Read me'!$B$6/('Read me'!$B$6+L34))+7*LN(L34/('Read me'!$B$6+L34)))),"")</f>
        <v/>
      </c>
      <c r="N34" s="16">
        <f>IFERROR(EXP(GAMMALN(8+'Read me'!$B$6)-GAMMALN('Read me'!$B$6)-GAMMALN(8+1)+'Read me'!$B$6*LN('Read me'!$B$6/('Read me'!$B$6+L34))+8*LN(L34/('Read me'!$B$6+L34))),"")</f>
        <v/>
      </c>
      <c r="O34" s="17">
        <f>IFERROR((1-N34)/M34,"")</f>
        <v/>
      </c>
      <c r="P34" s="18" t="n"/>
      <c r="Q34" s="19">
        <f>IF(P34="","",P34*M34+N34-1)</f>
        <v/>
      </c>
      <c r="R34" s="20">
        <f>IF(Q34="","awaiting price",IF(Q34&gt;='Read me'!$B$7,"BET",IF(Q34&gt;=0,"thin","no bet")))</f>
        <v/>
      </c>
    </row>
    <row r="35">
      <c r="A35" s="11" t="n">
        <v>46298</v>
      </c>
      <c r="B35" s="12" t="inlineStr">
        <is>
          <t>England League One</t>
        </is>
      </c>
      <c r="C35" s="12" t="inlineStr">
        <is>
          <t>Leyton Orient v Plymouth</t>
        </is>
      </c>
      <c r="D35" s="12" t="inlineStr">
        <is>
          <t>Leyton Orient</t>
        </is>
      </c>
      <c r="E35" s="12" t="inlineStr">
        <is>
          <t>Home</t>
        </is>
      </c>
      <c r="F35" s="12" t="inlineStr">
        <is>
          <t>Team under</t>
        </is>
      </c>
      <c r="G35" s="12" t="inlineStr">
        <is>
          <t>under 6 team corners</t>
        </is>
      </c>
      <c r="H35" s="12" t="n">
        <v>9</v>
      </c>
      <c r="I35" s="12" t="n">
        <v>9</v>
      </c>
      <c r="J35" s="12" t="inlineStr">
        <is>
          <t>4/4</t>
        </is>
      </c>
      <c r="K35" s="13" t="n">
        <v>3.8</v>
      </c>
      <c r="L35" s="14" t="n">
        <v>4.95</v>
      </c>
      <c r="M35" s="15">
        <f>IFERROR((EXP(GAMMALN(0+'Read me'!$B$6)-GAMMALN('Read me'!$B$6)-GAMMALN(0+1)+'Read me'!$B$6*LN('Read me'!$B$6/('Read me'!$B$6+L35))+0*LN(L35/('Read me'!$B$6+L35)))+EXP(GAMMALN(1+'Read me'!$B$6)-GAMMALN('Read me'!$B$6)-GAMMALN(1+1)+'Read me'!$B$6*LN('Read me'!$B$6/('Read me'!$B$6+L35))+1*LN(L35/('Read me'!$B$6+L35)))+EXP(GAMMALN(2+'Read me'!$B$6)-GAMMALN('Read me'!$B$6)-GAMMALN(2+1)+'Read me'!$B$6*LN('Read me'!$B$6/('Read me'!$B$6+L35))+2*LN(L35/('Read me'!$B$6+L35)))+EXP(GAMMALN(3+'Read me'!$B$6)-GAMMALN('Read me'!$B$6)-GAMMALN(3+1)+'Read me'!$B$6*LN('Read me'!$B$6/('Read me'!$B$6+L35))+3*LN(L35/('Read me'!$B$6+L35)))+EXP(GAMMALN(4+'Read me'!$B$6)-GAMMALN('Read me'!$B$6)-GAMMALN(4+1)+'Read me'!$B$6*LN('Read me'!$B$6/('Read me'!$B$6+L35))+4*LN(L35/('Read me'!$B$6+L35)))+EXP(GAMMALN(5+'Read me'!$B$6)-GAMMALN('Read me'!$B$6)-GAMMALN(5+1)+'Read me'!$B$6*LN('Read me'!$B$6/('Read me'!$B$6+L35))+5*LN(L35/('Read me'!$B$6+L35)))),"")</f>
        <v/>
      </c>
      <c r="N35" s="16">
        <f>IFERROR(EXP(GAMMALN(6+'Read me'!$B$6)-GAMMALN('Read me'!$B$6)-GAMMALN(6+1)+'Read me'!$B$6*LN('Read me'!$B$6/('Read me'!$B$6+L35))+6*LN(L35/('Read me'!$B$6+L35))),"")</f>
        <v/>
      </c>
      <c r="O35" s="17">
        <f>IFERROR((1-N35)/M35,"")</f>
        <v/>
      </c>
      <c r="P35" s="18" t="n"/>
      <c r="Q35" s="19">
        <f>IF(P35="","",P35*M35+N35-1)</f>
        <v/>
      </c>
      <c r="R35" s="20">
        <f>IF(Q35="","awaiting price",IF(Q35&gt;='Read me'!$B$7,"BET",IF(Q35&gt;=0,"thin","no bet")))</f>
        <v/>
      </c>
    </row>
    <row r="36">
      <c r="A36" s="11" t="n">
        <v>46299</v>
      </c>
      <c r="B36" s="12" t="inlineStr">
        <is>
          <t>Netherlands Eerste Divisie</t>
        </is>
      </c>
      <c r="C36" s="12" t="inlineStr">
        <is>
          <t>VVV Venlo v Roda</t>
        </is>
      </c>
      <c r="D36" s="12" t="inlineStr">
        <is>
          <t>VVV Venlo</t>
        </is>
      </c>
      <c r="E36" s="12" t="inlineStr">
        <is>
          <t>Home</t>
        </is>
      </c>
      <c r="F36" s="12" t="inlineStr">
        <is>
          <t>Team under</t>
        </is>
      </c>
      <c r="G36" s="12" t="inlineStr">
        <is>
          <t>under 8 team corners</t>
        </is>
      </c>
      <c r="H36" s="12" t="n">
        <v>9</v>
      </c>
      <c r="I36" s="12" t="n">
        <v>9</v>
      </c>
      <c r="J36" s="12" t="inlineStr">
        <is>
          <t>4/4</t>
        </is>
      </c>
      <c r="K36" s="13" t="n">
        <v>5.8</v>
      </c>
      <c r="L36" s="14" t="n">
        <v>5.48</v>
      </c>
      <c r="M36" s="15">
        <f>IFERROR((EXP(GAMMALN(0+'Read me'!$B$6)-GAMMALN('Read me'!$B$6)-GAMMALN(0+1)+'Read me'!$B$6*LN('Read me'!$B$6/('Read me'!$B$6+L36))+0*LN(L36/('Read me'!$B$6+L36)))+EXP(GAMMALN(1+'Read me'!$B$6)-GAMMALN('Read me'!$B$6)-GAMMALN(1+1)+'Read me'!$B$6*LN('Read me'!$B$6/('Read me'!$B$6+L36))+1*LN(L36/('Read me'!$B$6+L36)))+EXP(GAMMALN(2+'Read me'!$B$6)-GAMMALN('Read me'!$B$6)-GAMMALN(2+1)+'Read me'!$B$6*LN('Read me'!$B$6/('Read me'!$B$6+L36))+2*LN(L36/('Read me'!$B$6+L36)))+EXP(GAMMALN(3+'Read me'!$B$6)-GAMMALN('Read me'!$B$6)-GAMMALN(3+1)+'Read me'!$B$6*LN('Read me'!$B$6/('Read me'!$B$6+L36))+3*LN(L36/('Read me'!$B$6+L36)))+EXP(GAMMALN(4+'Read me'!$B$6)-GAMMALN('Read me'!$B$6)-GAMMALN(4+1)+'Read me'!$B$6*LN('Read me'!$B$6/('Read me'!$B$6+L36))+4*LN(L36/('Read me'!$B$6+L36)))+EXP(GAMMALN(5+'Read me'!$B$6)-GAMMALN('Read me'!$B$6)-GAMMALN(5+1)+'Read me'!$B$6*LN('Read me'!$B$6/('Read me'!$B$6+L36))+5*LN(L36/('Read me'!$B$6+L36)))+EXP(GAMMALN(6+'Read me'!$B$6)-GAMMALN('Read me'!$B$6)-GAMMALN(6+1)+'Read me'!$B$6*LN('Read me'!$B$6/('Read me'!$B$6+L36))+6*LN(L36/('Read me'!$B$6+L36)))+EXP(GAMMALN(7+'Read me'!$B$6)-GAMMALN('Read me'!$B$6)-GAMMALN(7+1)+'Read me'!$B$6*LN('Read me'!$B$6/('Read me'!$B$6+L36))+7*LN(L36/('Read me'!$B$6+L36)))),"")</f>
        <v/>
      </c>
      <c r="N36" s="16">
        <f>IFERROR(EXP(GAMMALN(8+'Read me'!$B$6)-GAMMALN('Read me'!$B$6)-GAMMALN(8+1)+'Read me'!$B$6*LN('Read me'!$B$6/('Read me'!$B$6+L36))+8*LN(L36/('Read me'!$B$6+L36))),"")</f>
        <v/>
      </c>
      <c r="O36" s="17">
        <f>IFERROR((1-N36)/M36,"")</f>
        <v/>
      </c>
      <c r="P36" s="18" t="n"/>
      <c r="Q36" s="19">
        <f>IF(P36="","",P36*M36+N36-1)</f>
        <v/>
      </c>
      <c r="R36" s="20">
        <f>IF(Q36="","awaiting price",IF(Q36&gt;='Read me'!$B$7,"BET",IF(Q36&gt;=0,"thin","no bet")))</f>
        <v/>
      </c>
    </row>
    <row r="37">
      <c r="A37" s="11" t="n">
        <v>46299</v>
      </c>
      <c r="B37" s="12" t="inlineStr">
        <is>
          <t>Netherlands Eerste Divisie</t>
        </is>
      </c>
      <c r="C37" s="12" t="inlineStr">
        <is>
          <t>VVV Venlo v Roda</t>
        </is>
      </c>
      <c r="D37" s="12" t="inlineStr">
        <is>
          <t>VVV Venlo</t>
        </is>
      </c>
      <c r="E37" s="12" t="inlineStr">
        <is>
          <t>Home</t>
        </is>
      </c>
      <c r="F37" s="12" t="inlineStr">
        <is>
          <t>Match under</t>
        </is>
      </c>
      <c r="G37" s="12" t="inlineStr">
        <is>
          <t>under 12 match corners</t>
        </is>
      </c>
      <c r="H37" s="12" t="n">
        <v>9</v>
      </c>
      <c r="I37" s="12" t="n">
        <v>9</v>
      </c>
      <c r="J37" s="12" t="inlineStr">
        <is>
          <t>4/4</t>
        </is>
      </c>
      <c r="K37" s="13" t="n">
        <v>10.4</v>
      </c>
      <c r="L37" s="14" t="n">
        <v>10.11</v>
      </c>
      <c r="M37" s="15">
        <f>IFERROR(POISSON(12-1,L37,TRUE),"")</f>
        <v/>
      </c>
      <c r="N37" s="16">
        <f>IFERROR(POISSON(12,L37,FALSE),"")</f>
        <v/>
      </c>
      <c r="O37" s="17">
        <f>IFERROR((1-N37)/M37,"")</f>
        <v/>
      </c>
      <c r="P37" s="18" t="n"/>
      <c r="Q37" s="19">
        <f>IF(P37="","",P37*M37+N37-1)</f>
        <v/>
      </c>
      <c r="R37" s="20">
        <f>IF(Q37="","awaiting price",IF(Q37&gt;='Read me'!$B$7,"BET",IF(Q37&gt;=0,"thin","no bet")))</f>
        <v/>
      </c>
    </row>
    <row r="38">
      <c r="A38" s="11" t="n">
        <v>46297</v>
      </c>
      <c r="B38" s="12" t="inlineStr">
        <is>
          <t>Netherlands Eerste Divisie</t>
        </is>
      </c>
      <c r="C38" s="12" t="inlineStr">
        <is>
          <t>Helmond Sport v Heracles</t>
        </is>
      </c>
      <c r="D38" s="12" t="inlineStr">
        <is>
          <t>Heracles</t>
        </is>
      </c>
      <c r="E38" s="12" t="inlineStr">
        <is>
          <t>Away</t>
        </is>
      </c>
      <c r="F38" s="12" t="inlineStr">
        <is>
          <t>Team over</t>
        </is>
      </c>
      <c r="G38" s="12" t="inlineStr">
        <is>
          <t>5+ team corners</t>
        </is>
      </c>
      <c r="H38" s="12" t="n">
        <v>8</v>
      </c>
      <c r="I38" s="12" t="n">
        <v>8</v>
      </c>
      <c r="J38" s="12" t="inlineStr">
        <is>
          <t>5/5</t>
        </is>
      </c>
      <c r="K38" s="13" t="n">
        <v>7.8</v>
      </c>
      <c r="L38" s="14" t="n">
        <v>6.02</v>
      </c>
      <c r="M38" s="15">
        <f>IFERROR(1-(EXP(GAMMALN(0+'Read me'!$B$6)-GAMMALN('Read me'!$B$6)-GAMMALN(0+1)+'Read me'!$B$6*LN('Read me'!$B$6/('Read me'!$B$6+L38))+0*LN(L38/('Read me'!$B$6+L38)))+EXP(GAMMALN(1+'Read me'!$B$6)-GAMMALN('Read me'!$B$6)-GAMMALN(1+1)+'Read me'!$B$6*LN('Read me'!$B$6/('Read me'!$B$6+L38))+1*LN(L38/('Read me'!$B$6+L38)))+EXP(GAMMALN(2+'Read me'!$B$6)-GAMMALN('Read me'!$B$6)-GAMMALN(2+1)+'Read me'!$B$6*LN('Read me'!$B$6/('Read me'!$B$6+L38))+2*LN(L38/('Read me'!$B$6+L38)))+EXP(GAMMALN(3+'Read me'!$B$6)-GAMMALN('Read me'!$B$6)-GAMMALN(3+1)+'Read me'!$B$6*LN('Read me'!$B$6/('Read me'!$B$6+L38))+3*LN(L38/('Read me'!$B$6+L38)))+EXP(GAMMALN(4+'Read me'!$B$6)-GAMMALN('Read me'!$B$6)-GAMMALN(4+1)+'Read me'!$B$6*LN('Read me'!$B$6/('Read me'!$B$6+L38))+4*LN(L38/('Read me'!$B$6+L38)))),"")</f>
        <v/>
      </c>
      <c r="N38" s="16" t="n">
        <v>0</v>
      </c>
      <c r="O38" s="17">
        <f>IFERROR(1/M38,"")</f>
        <v/>
      </c>
      <c r="P38" s="18" t="n"/>
      <c r="Q38" s="19">
        <f>IF(P38="","",P38*M38-1)</f>
        <v/>
      </c>
      <c r="R38" s="20">
        <f>IF(Q38="","awaiting price",IF(Q38&gt;='Read me'!$B$7,"BET",IF(Q38&gt;=0,"thin","no bet")))</f>
        <v/>
      </c>
    </row>
    <row r="39">
      <c r="A39" s="11" t="n">
        <v>46297</v>
      </c>
      <c r="B39" s="12" t="inlineStr">
        <is>
          <t>USA MLS</t>
        </is>
      </c>
      <c r="C39" s="12" t="inlineStr">
        <is>
          <t>Seattle Sounders v Sporting Kansas City</t>
        </is>
      </c>
      <c r="D39" s="12" t="inlineStr">
        <is>
          <t>Seattle Sounders</t>
        </is>
      </c>
      <c r="E39" s="12" t="inlineStr">
        <is>
          <t>Home</t>
        </is>
      </c>
      <c r="F39" s="12" t="inlineStr">
        <is>
          <t>Team over</t>
        </is>
      </c>
      <c r="G39" s="12" t="inlineStr">
        <is>
          <t>3+ team corners</t>
        </is>
      </c>
      <c r="H39" s="12" t="n">
        <v>8</v>
      </c>
      <c r="I39" s="12" t="n">
        <v>8</v>
      </c>
      <c r="J39" s="12" t="inlineStr">
        <is>
          <t>5/5</t>
        </is>
      </c>
      <c r="K39" s="13" t="n">
        <v>6</v>
      </c>
      <c r="L39" s="14" t="n">
        <v>5.34</v>
      </c>
      <c r="M39" s="15">
        <f>IFERROR(1-(EXP(GAMMALN(0+'Read me'!$B$6)-GAMMALN('Read me'!$B$6)-GAMMALN(0+1)+'Read me'!$B$6*LN('Read me'!$B$6/('Read me'!$B$6+L39))+0*LN(L39/('Read me'!$B$6+L39)))+EXP(GAMMALN(1+'Read me'!$B$6)-GAMMALN('Read me'!$B$6)-GAMMALN(1+1)+'Read me'!$B$6*LN('Read me'!$B$6/('Read me'!$B$6+L39))+1*LN(L39/('Read me'!$B$6+L39)))+EXP(GAMMALN(2+'Read me'!$B$6)-GAMMALN('Read me'!$B$6)-GAMMALN(2+1)+'Read me'!$B$6*LN('Read me'!$B$6/('Read me'!$B$6+L39))+2*LN(L39/('Read me'!$B$6+L39)))),"")</f>
        <v/>
      </c>
      <c r="N39" s="16" t="n">
        <v>0</v>
      </c>
      <c r="O39" s="17">
        <f>IFERROR(1/M39,"")</f>
        <v/>
      </c>
      <c r="P39" s="18" t="n"/>
      <c r="Q39" s="19">
        <f>IF(P39="","",P39*M39-1)</f>
        <v/>
      </c>
      <c r="R39" s="20">
        <f>IF(Q39="","awaiting price",IF(Q39&gt;='Read me'!$B$7,"BET",IF(Q39&gt;=0,"thin","no bet")))</f>
        <v/>
      </c>
    </row>
    <row r="40">
      <c r="A40" s="11" t="n">
        <v>46298</v>
      </c>
      <c r="B40" s="12" t="inlineStr">
        <is>
          <t>Netherlands Eerste Divisie</t>
        </is>
      </c>
      <c r="C40" s="12" t="inlineStr">
        <is>
          <t>Den Bosch v Dordrecht</t>
        </is>
      </c>
      <c r="D40" s="12" t="inlineStr">
        <is>
          <t>Den Bosch</t>
        </is>
      </c>
      <c r="E40" s="12" t="inlineStr">
        <is>
          <t>Home</t>
        </is>
      </c>
      <c r="F40" s="12" t="inlineStr">
        <is>
          <t>Team over</t>
        </is>
      </c>
      <c r="G40" s="12" t="inlineStr">
        <is>
          <t>5+ team corners</t>
        </is>
      </c>
      <c r="H40" s="12" t="n">
        <v>8</v>
      </c>
      <c r="I40" s="12" t="n">
        <v>8</v>
      </c>
      <c r="J40" s="12" t="inlineStr">
        <is>
          <t>5/5</t>
        </is>
      </c>
      <c r="K40" s="13" t="n">
        <v>9.6</v>
      </c>
      <c r="L40" s="14" t="n">
        <v>5.87</v>
      </c>
      <c r="M40" s="15">
        <f>IFERROR(1-(EXP(GAMMALN(0+'Read me'!$B$6)-GAMMALN('Read me'!$B$6)-GAMMALN(0+1)+'Read me'!$B$6*LN('Read me'!$B$6/('Read me'!$B$6+L40))+0*LN(L40/('Read me'!$B$6+L40)))+EXP(GAMMALN(1+'Read me'!$B$6)-GAMMALN('Read me'!$B$6)-GAMMALN(1+1)+'Read me'!$B$6*LN('Read me'!$B$6/('Read me'!$B$6+L40))+1*LN(L40/('Read me'!$B$6+L40)))+EXP(GAMMALN(2+'Read me'!$B$6)-GAMMALN('Read me'!$B$6)-GAMMALN(2+1)+'Read me'!$B$6*LN('Read me'!$B$6/('Read me'!$B$6+L40))+2*LN(L40/('Read me'!$B$6+L40)))+EXP(GAMMALN(3+'Read me'!$B$6)-GAMMALN('Read me'!$B$6)-GAMMALN(3+1)+'Read me'!$B$6*LN('Read me'!$B$6/('Read me'!$B$6+L40))+3*LN(L40/('Read me'!$B$6+L40)))+EXP(GAMMALN(4+'Read me'!$B$6)-GAMMALN('Read me'!$B$6)-GAMMALN(4+1)+'Read me'!$B$6*LN('Read me'!$B$6/('Read me'!$B$6+L40))+4*LN(L40/('Read me'!$B$6+L40)))),"")</f>
        <v/>
      </c>
      <c r="N40" s="16" t="n">
        <v>0</v>
      </c>
      <c r="O40" s="17">
        <f>IFERROR(1/M40,"")</f>
        <v/>
      </c>
      <c r="P40" s="18" t="n"/>
      <c r="Q40" s="19">
        <f>IF(P40="","",P40*M40-1)</f>
        <v/>
      </c>
      <c r="R40" s="20">
        <f>IF(Q40="","awaiting price",IF(Q40&gt;='Read me'!$B$7,"BET",IF(Q40&gt;=0,"thin","no bet")))</f>
        <v/>
      </c>
    </row>
    <row r="41">
      <c r="A41" s="11" t="n">
        <v>46298</v>
      </c>
      <c r="B41" s="12" t="inlineStr">
        <is>
          <t>Netherlands Eerste Divisie</t>
        </is>
      </c>
      <c r="C41" s="12" t="inlineStr">
        <is>
          <t>Vitesse v NAC Breda</t>
        </is>
      </c>
      <c r="D41" s="12" t="inlineStr">
        <is>
          <t>NAC Breda</t>
        </is>
      </c>
      <c r="E41" s="12" t="inlineStr">
        <is>
          <t>Away</t>
        </is>
      </c>
      <c r="F41" s="12" t="inlineStr">
        <is>
          <t>Team over</t>
        </is>
      </c>
      <c r="G41" s="12" t="inlineStr">
        <is>
          <t>4+ team corners</t>
        </is>
      </c>
      <c r="H41" s="12" t="n">
        <v>8</v>
      </c>
      <c r="I41" s="12" t="n">
        <v>8</v>
      </c>
      <c r="J41" s="12" t="inlineStr">
        <is>
          <t>5/5</t>
        </is>
      </c>
      <c r="K41" s="13" t="n">
        <v>7.4</v>
      </c>
      <c r="L41" s="14" t="n">
        <v>4.07</v>
      </c>
      <c r="M41" s="15">
        <f>IFERROR(1-(EXP(GAMMALN(0+'Read me'!$B$6)-GAMMALN('Read me'!$B$6)-GAMMALN(0+1)+'Read me'!$B$6*LN('Read me'!$B$6/('Read me'!$B$6+L41))+0*LN(L41/('Read me'!$B$6+L41)))+EXP(GAMMALN(1+'Read me'!$B$6)-GAMMALN('Read me'!$B$6)-GAMMALN(1+1)+'Read me'!$B$6*LN('Read me'!$B$6/('Read me'!$B$6+L41))+1*LN(L41/('Read me'!$B$6+L41)))+EXP(GAMMALN(2+'Read me'!$B$6)-GAMMALN('Read me'!$B$6)-GAMMALN(2+1)+'Read me'!$B$6*LN('Read me'!$B$6/('Read me'!$B$6+L41))+2*LN(L41/('Read me'!$B$6+L41)))+EXP(GAMMALN(3+'Read me'!$B$6)-GAMMALN('Read me'!$B$6)-GAMMALN(3+1)+'Read me'!$B$6*LN('Read me'!$B$6/('Read me'!$B$6+L41))+3*LN(L41/('Read me'!$B$6+L41)))),"")</f>
        <v/>
      </c>
      <c r="N41" s="16" t="n">
        <v>0</v>
      </c>
      <c r="O41" s="17">
        <f>IFERROR(1/M41,"")</f>
        <v/>
      </c>
      <c r="P41" s="18" t="n"/>
      <c r="Q41" s="19">
        <f>IF(P41="","",P41*M41-1)</f>
        <v/>
      </c>
      <c r="R41" s="20">
        <f>IF(Q41="","awaiting price",IF(Q41&gt;='Read me'!$B$7,"BET",IF(Q41&gt;=0,"thin","no bet")))</f>
        <v/>
      </c>
    </row>
    <row r="42">
      <c r="A42" s="11" t="n">
        <v>46298</v>
      </c>
      <c r="B42" s="12" t="inlineStr">
        <is>
          <t>England League Two</t>
        </is>
      </c>
      <c r="C42" s="12" t="inlineStr">
        <is>
          <t>Barnet v York</t>
        </is>
      </c>
      <c r="D42" s="12" t="inlineStr">
        <is>
          <t>York</t>
        </is>
      </c>
      <c r="E42" s="12" t="inlineStr">
        <is>
          <t>Away</t>
        </is>
      </c>
      <c r="F42" s="12" t="inlineStr">
        <is>
          <t>Team over</t>
        </is>
      </c>
      <c r="G42" s="12" t="inlineStr">
        <is>
          <t>4+ team corners</t>
        </is>
      </c>
      <c r="H42" s="12" t="n">
        <v>8</v>
      </c>
      <c r="I42" s="12" t="n">
        <v>8</v>
      </c>
      <c r="J42" s="12" t="inlineStr">
        <is>
          <t>5/5</t>
        </is>
      </c>
      <c r="K42" s="13" t="n">
        <v>5.4</v>
      </c>
      <c r="L42" s="14" t="n">
        <v>5.49</v>
      </c>
      <c r="M42" s="15">
        <f>IFERROR(1-(EXP(GAMMALN(0+'Read me'!$B$6)-GAMMALN('Read me'!$B$6)-GAMMALN(0+1)+'Read me'!$B$6*LN('Read me'!$B$6/('Read me'!$B$6+L42))+0*LN(L42/('Read me'!$B$6+L42)))+EXP(GAMMALN(1+'Read me'!$B$6)-GAMMALN('Read me'!$B$6)-GAMMALN(1+1)+'Read me'!$B$6*LN('Read me'!$B$6/('Read me'!$B$6+L42))+1*LN(L42/('Read me'!$B$6+L42)))+EXP(GAMMALN(2+'Read me'!$B$6)-GAMMALN('Read me'!$B$6)-GAMMALN(2+1)+'Read me'!$B$6*LN('Read me'!$B$6/('Read me'!$B$6+L42))+2*LN(L42/('Read me'!$B$6+L42)))+EXP(GAMMALN(3+'Read me'!$B$6)-GAMMALN('Read me'!$B$6)-GAMMALN(3+1)+'Read me'!$B$6*LN('Read me'!$B$6/('Read me'!$B$6+L42))+3*LN(L42/('Read me'!$B$6+L42)))),"")</f>
        <v/>
      </c>
      <c r="N42" s="16" t="n">
        <v>0</v>
      </c>
      <c r="O42" s="17">
        <f>IFERROR(1/M42,"")</f>
        <v/>
      </c>
      <c r="P42" s="18" t="n"/>
      <c r="Q42" s="19">
        <f>IF(P42="","",P42*M42-1)</f>
        <v/>
      </c>
      <c r="R42" s="20">
        <f>IF(Q42="","awaiting price",IF(Q42&gt;='Read me'!$B$7,"BET",IF(Q42&gt;=0,"thin","no bet")))</f>
        <v/>
      </c>
    </row>
    <row r="43">
      <c r="A43" s="11" t="n">
        <v>46298</v>
      </c>
      <c r="B43" s="12" t="inlineStr">
        <is>
          <t>England League One</t>
        </is>
      </c>
      <c r="C43" s="12" t="inlineStr">
        <is>
          <t>Reading v Bradford</t>
        </is>
      </c>
      <c r="D43" s="12" t="inlineStr">
        <is>
          <t>Reading</t>
        </is>
      </c>
      <c r="E43" s="12" t="inlineStr">
        <is>
          <t>Home</t>
        </is>
      </c>
      <c r="F43" s="12" t="inlineStr">
        <is>
          <t>Team over</t>
        </is>
      </c>
      <c r="G43" s="12" t="inlineStr">
        <is>
          <t>3+ team corners</t>
        </is>
      </c>
      <c r="H43" s="12" t="n">
        <v>8</v>
      </c>
      <c r="I43" s="12" t="n">
        <v>8</v>
      </c>
      <c r="J43" s="12" t="inlineStr">
        <is>
          <t>5/5</t>
        </is>
      </c>
      <c r="K43" s="13" t="n">
        <v>5</v>
      </c>
      <c r="L43" s="14" t="n">
        <v>5.04</v>
      </c>
      <c r="M43" s="15">
        <f>IFERROR(1-(EXP(GAMMALN(0+'Read me'!$B$6)-GAMMALN('Read me'!$B$6)-GAMMALN(0+1)+'Read me'!$B$6*LN('Read me'!$B$6/('Read me'!$B$6+L43))+0*LN(L43/('Read me'!$B$6+L43)))+EXP(GAMMALN(1+'Read me'!$B$6)-GAMMALN('Read me'!$B$6)-GAMMALN(1+1)+'Read me'!$B$6*LN('Read me'!$B$6/('Read me'!$B$6+L43))+1*LN(L43/('Read me'!$B$6+L43)))+EXP(GAMMALN(2+'Read me'!$B$6)-GAMMALN('Read me'!$B$6)-GAMMALN(2+1)+'Read me'!$B$6*LN('Read me'!$B$6/('Read me'!$B$6+L43))+2*LN(L43/('Read me'!$B$6+L43)))),"")</f>
        <v/>
      </c>
      <c r="N43" s="16" t="n">
        <v>0</v>
      </c>
      <c r="O43" s="17">
        <f>IFERROR(1/M43,"")</f>
        <v/>
      </c>
      <c r="P43" s="18" t="n"/>
      <c r="Q43" s="19">
        <f>IF(P43="","",P43*M43-1)</f>
        <v/>
      </c>
      <c r="R43" s="20">
        <f>IF(Q43="","awaiting price",IF(Q43&gt;='Read me'!$B$7,"BET",IF(Q43&gt;=0,"thin","no bet")))</f>
        <v/>
      </c>
    </row>
    <row r="44">
      <c r="A44" s="11" t="n">
        <v>46298</v>
      </c>
      <c r="B44" s="12" t="inlineStr">
        <is>
          <t>Argentina Liga Profesional</t>
        </is>
      </c>
      <c r="C44" s="12" t="inlineStr">
        <is>
          <t>Defensa Y Justicia v San Lorenzo</t>
        </is>
      </c>
      <c r="D44" s="12" t="inlineStr">
        <is>
          <t>San Lorenzo</t>
        </is>
      </c>
      <c r="E44" s="12" t="inlineStr">
        <is>
          <t>Away</t>
        </is>
      </c>
      <c r="F44" s="12" t="inlineStr">
        <is>
          <t>Team under</t>
        </is>
      </c>
      <c r="G44" s="12" t="inlineStr">
        <is>
          <t>under 6 team corners</t>
        </is>
      </c>
      <c r="H44" s="12" t="n">
        <v>8</v>
      </c>
      <c r="I44" s="12" t="n">
        <v>8</v>
      </c>
      <c r="J44" s="12" t="inlineStr">
        <is>
          <t>3/3</t>
        </is>
      </c>
      <c r="K44" s="13" t="n">
        <v>3.2</v>
      </c>
      <c r="L44" s="14" t="n">
        <v>3.5</v>
      </c>
      <c r="M44" s="15">
        <f>IFERROR((EXP(GAMMALN(0+'Read me'!$B$6)-GAMMALN('Read me'!$B$6)-GAMMALN(0+1)+'Read me'!$B$6*LN('Read me'!$B$6/('Read me'!$B$6+L44))+0*LN(L44/('Read me'!$B$6+L44)))+EXP(GAMMALN(1+'Read me'!$B$6)-GAMMALN('Read me'!$B$6)-GAMMALN(1+1)+'Read me'!$B$6*LN('Read me'!$B$6/('Read me'!$B$6+L44))+1*LN(L44/('Read me'!$B$6+L44)))+EXP(GAMMALN(2+'Read me'!$B$6)-GAMMALN('Read me'!$B$6)-GAMMALN(2+1)+'Read me'!$B$6*LN('Read me'!$B$6/('Read me'!$B$6+L44))+2*LN(L44/('Read me'!$B$6+L44)))+EXP(GAMMALN(3+'Read me'!$B$6)-GAMMALN('Read me'!$B$6)-GAMMALN(3+1)+'Read me'!$B$6*LN('Read me'!$B$6/('Read me'!$B$6+L44))+3*LN(L44/('Read me'!$B$6+L44)))+EXP(GAMMALN(4+'Read me'!$B$6)-GAMMALN('Read me'!$B$6)-GAMMALN(4+1)+'Read me'!$B$6*LN('Read me'!$B$6/('Read me'!$B$6+L44))+4*LN(L44/('Read me'!$B$6+L44)))+EXP(GAMMALN(5+'Read me'!$B$6)-GAMMALN('Read me'!$B$6)-GAMMALN(5+1)+'Read me'!$B$6*LN('Read me'!$B$6/('Read me'!$B$6+L44))+5*LN(L44/('Read me'!$B$6+L44)))),"")</f>
        <v/>
      </c>
      <c r="N44" s="16">
        <f>IFERROR(EXP(GAMMALN(6+'Read me'!$B$6)-GAMMALN('Read me'!$B$6)-GAMMALN(6+1)+'Read me'!$B$6*LN('Read me'!$B$6/('Read me'!$B$6+L44))+6*LN(L44/('Read me'!$B$6+L44))),"")</f>
        <v/>
      </c>
      <c r="O44" s="17">
        <f>IFERROR((1-N44)/M44,"")</f>
        <v/>
      </c>
      <c r="P44" s="18" t="n"/>
      <c r="Q44" s="19">
        <f>IF(P44="","",P44*M44+N44-1)</f>
        <v/>
      </c>
      <c r="R44" s="20">
        <f>IF(Q44="","awaiting price",IF(Q44&gt;='Read me'!$B$7,"BET",IF(Q44&gt;=0,"thin","no bet")))</f>
        <v/>
      </c>
    </row>
    <row r="45">
      <c r="A45" s="11" t="n">
        <v>46298</v>
      </c>
      <c r="B45" s="12" t="inlineStr">
        <is>
          <t>England League Two</t>
        </is>
      </c>
      <c r="C45" s="12" t="inlineStr">
        <is>
          <t>Salford City v Fleetwood Town</t>
        </is>
      </c>
      <c r="D45" s="12" t="inlineStr">
        <is>
          <t>Fleetwood Town</t>
        </is>
      </c>
      <c r="E45" s="12" t="inlineStr">
        <is>
          <t>Away</t>
        </is>
      </c>
      <c r="F45" s="12" t="inlineStr">
        <is>
          <t>Match under</t>
        </is>
      </c>
      <c r="G45" s="12" t="inlineStr">
        <is>
          <t>under 12 match corners</t>
        </is>
      </c>
      <c r="H45" s="12" t="n">
        <v>8</v>
      </c>
      <c r="I45" s="12" t="n">
        <v>8</v>
      </c>
      <c r="J45" s="12" t="inlineStr">
        <is>
          <t>4/4</t>
        </is>
      </c>
      <c r="K45" s="13" t="n">
        <v>10.2</v>
      </c>
      <c r="L45" s="14" t="n">
        <v>9.800000000000001</v>
      </c>
      <c r="M45" s="15">
        <f>IFERROR(POISSON(12-1,L45,TRUE),"")</f>
        <v/>
      </c>
      <c r="N45" s="16">
        <f>IFERROR(POISSON(12,L45,FALSE),"")</f>
        <v/>
      </c>
      <c r="O45" s="17">
        <f>IFERROR((1-N45)/M45,"")</f>
        <v/>
      </c>
      <c r="P45" s="18" t="n"/>
      <c r="Q45" s="19">
        <f>IF(P45="","",P45*M45+N45-1)</f>
        <v/>
      </c>
      <c r="R45" s="20">
        <f>IF(Q45="","awaiting price",IF(Q45&gt;='Read me'!$B$7,"BET",IF(Q45&gt;=0,"thin","no bet")))</f>
        <v/>
      </c>
    </row>
    <row r="46">
      <c r="A46" s="11" t="n">
        <v>46299</v>
      </c>
      <c r="B46" s="12" t="inlineStr">
        <is>
          <t>Argentina Liga Profesional</t>
        </is>
      </c>
      <c r="C46" s="12" t="inlineStr">
        <is>
          <t>Talleres Cordoba v Belgrano Cordoba</t>
        </is>
      </c>
      <c r="D46" s="12" t="inlineStr">
        <is>
          <t>Belgrano Cordoba</t>
        </is>
      </c>
      <c r="E46" s="12" t="inlineStr">
        <is>
          <t>Away</t>
        </is>
      </c>
      <c r="F46" s="12" t="inlineStr">
        <is>
          <t>Match under</t>
        </is>
      </c>
      <c r="G46" s="12" t="inlineStr">
        <is>
          <t>under 11 match corners</t>
        </is>
      </c>
      <c r="H46" s="12" t="n">
        <v>8</v>
      </c>
      <c r="I46" s="12" t="n">
        <v>8</v>
      </c>
      <c r="J46" s="12" t="inlineStr">
        <is>
          <t>4/4</t>
        </is>
      </c>
      <c r="K46" s="13" t="n">
        <v>9.6</v>
      </c>
      <c r="L46" s="14" t="n">
        <v>10.09</v>
      </c>
      <c r="M46" s="15">
        <f>IFERROR(POISSON(11-1,L46,TRUE),"")</f>
        <v/>
      </c>
      <c r="N46" s="16">
        <f>IFERROR(POISSON(11,L46,FALSE),"")</f>
        <v/>
      </c>
      <c r="O46" s="17">
        <f>IFERROR((1-N46)/M46,"")</f>
        <v/>
      </c>
      <c r="P46" s="18" t="n"/>
      <c r="Q46" s="19">
        <f>IF(P46="","",P46*M46+N46-1)</f>
        <v/>
      </c>
      <c r="R46" s="20">
        <f>IF(Q46="","awaiting price",IF(Q46&gt;='Read me'!$B$7,"BET",IF(Q46&gt;=0,"thin","no bet")))</f>
        <v/>
      </c>
    </row>
    <row r="47">
      <c r="A47" s="11" t="n">
        <v>46300</v>
      </c>
      <c r="B47" s="12" t="inlineStr">
        <is>
          <t>Argentina Liga Profesional</t>
        </is>
      </c>
      <c r="C47" s="12" t="inlineStr">
        <is>
          <t>Velez Sarsfield v Platense</t>
        </is>
      </c>
      <c r="D47" s="12" t="inlineStr">
        <is>
          <t>Velez Sarsfield</t>
        </is>
      </c>
      <c r="E47" s="12" t="inlineStr">
        <is>
          <t>Home</t>
        </is>
      </c>
      <c r="F47" s="12" t="inlineStr">
        <is>
          <t>Team under</t>
        </is>
      </c>
      <c r="G47" s="12" t="inlineStr">
        <is>
          <t>under 6 team corners</t>
        </is>
      </c>
      <c r="H47" s="12" t="n">
        <v>8</v>
      </c>
      <c r="I47" s="12" t="n">
        <v>8</v>
      </c>
      <c r="J47" s="12" t="inlineStr">
        <is>
          <t>4/4</t>
        </is>
      </c>
      <c r="K47" s="13" t="n">
        <v>4</v>
      </c>
      <c r="L47" s="14" t="n">
        <v>5.1</v>
      </c>
      <c r="M47" s="15">
        <f>IFERROR((EXP(GAMMALN(0+'Read me'!$B$6)-GAMMALN('Read me'!$B$6)-GAMMALN(0+1)+'Read me'!$B$6*LN('Read me'!$B$6/('Read me'!$B$6+L47))+0*LN(L47/('Read me'!$B$6+L47)))+EXP(GAMMALN(1+'Read me'!$B$6)-GAMMALN('Read me'!$B$6)-GAMMALN(1+1)+'Read me'!$B$6*LN('Read me'!$B$6/('Read me'!$B$6+L47))+1*LN(L47/('Read me'!$B$6+L47)))+EXP(GAMMALN(2+'Read me'!$B$6)-GAMMALN('Read me'!$B$6)-GAMMALN(2+1)+'Read me'!$B$6*LN('Read me'!$B$6/('Read me'!$B$6+L47))+2*LN(L47/('Read me'!$B$6+L47)))+EXP(GAMMALN(3+'Read me'!$B$6)-GAMMALN('Read me'!$B$6)-GAMMALN(3+1)+'Read me'!$B$6*LN('Read me'!$B$6/('Read me'!$B$6+L47))+3*LN(L47/('Read me'!$B$6+L47)))+EXP(GAMMALN(4+'Read me'!$B$6)-GAMMALN('Read me'!$B$6)-GAMMALN(4+1)+'Read me'!$B$6*LN('Read me'!$B$6/('Read me'!$B$6+L47))+4*LN(L47/('Read me'!$B$6+L47)))+EXP(GAMMALN(5+'Read me'!$B$6)-GAMMALN('Read me'!$B$6)-GAMMALN(5+1)+'Read me'!$B$6*LN('Read me'!$B$6/('Read me'!$B$6+L47))+5*LN(L47/('Read me'!$B$6+L47)))),"")</f>
        <v/>
      </c>
      <c r="N47" s="16">
        <f>IFERROR(EXP(GAMMALN(6+'Read me'!$B$6)-GAMMALN('Read me'!$B$6)-GAMMALN(6+1)+'Read me'!$B$6*LN('Read me'!$B$6/('Read me'!$B$6+L47))+6*LN(L47/('Read me'!$B$6+L47))),"")</f>
        <v/>
      </c>
      <c r="O47" s="17">
        <f>IFERROR((1-N47)/M47,"")</f>
        <v/>
      </c>
      <c r="P47" s="18" t="n"/>
      <c r="Q47" s="19">
        <f>IF(P47="","",P47*M47+N47-1)</f>
        <v/>
      </c>
      <c r="R47" s="20">
        <f>IF(Q47="","awaiting price",IF(Q47&gt;='Read me'!$B$7,"BET",IF(Q47&gt;=0,"thin","no bet")))</f>
        <v/>
      </c>
    </row>
    <row r="48">
      <c r="A48" s="11" t="n">
        <v>46300</v>
      </c>
      <c r="B48" s="12" t="inlineStr">
        <is>
          <t>Argentina Liga Profesional</t>
        </is>
      </c>
      <c r="C48" s="12" t="inlineStr">
        <is>
          <t>Velez Sarsfield v Platense</t>
        </is>
      </c>
      <c r="D48" s="12" t="inlineStr">
        <is>
          <t>Platense</t>
        </is>
      </c>
      <c r="E48" s="12" t="inlineStr">
        <is>
          <t>Away</t>
        </is>
      </c>
      <c r="F48" s="12" t="inlineStr">
        <is>
          <t>Team under</t>
        </is>
      </c>
      <c r="G48" s="12" t="inlineStr">
        <is>
          <t>under 7 team corners</t>
        </is>
      </c>
      <c r="H48" s="12" t="n">
        <v>8</v>
      </c>
      <c r="I48" s="12" t="n">
        <v>8</v>
      </c>
      <c r="J48" s="12" t="inlineStr">
        <is>
          <t>4/4</t>
        </is>
      </c>
      <c r="K48" s="13" t="n">
        <v>4.4</v>
      </c>
      <c r="L48" s="14" t="n">
        <v>3.9</v>
      </c>
      <c r="M48" s="15">
        <f>IFERROR((EXP(GAMMALN(0+'Read me'!$B$6)-GAMMALN('Read me'!$B$6)-GAMMALN(0+1)+'Read me'!$B$6*LN('Read me'!$B$6/('Read me'!$B$6+L48))+0*LN(L48/('Read me'!$B$6+L48)))+EXP(GAMMALN(1+'Read me'!$B$6)-GAMMALN('Read me'!$B$6)-GAMMALN(1+1)+'Read me'!$B$6*LN('Read me'!$B$6/('Read me'!$B$6+L48))+1*LN(L48/('Read me'!$B$6+L48)))+EXP(GAMMALN(2+'Read me'!$B$6)-GAMMALN('Read me'!$B$6)-GAMMALN(2+1)+'Read me'!$B$6*LN('Read me'!$B$6/('Read me'!$B$6+L48))+2*LN(L48/('Read me'!$B$6+L48)))+EXP(GAMMALN(3+'Read me'!$B$6)-GAMMALN('Read me'!$B$6)-GAMMALN(3+1)+'Read me'!$B$6*LN('Read me'!$B$6/('Read me'!$B$6+L48))+3*LN(L48/('Read me'!$B$6+L48)))+EXP(GAMMALN(4+'Read me'!$B$6)-GAMMALN('Read me'!$B$6)-GAMMALN(4+1)+'Read me'!$B$6*LN('Read me'!$B$6/('Read me'!$B$6+L48))+4*LN(L48/('Read me'!$B$6+L48)))+EXP(GAMMALN(5+'Read me'!$B$6)-GAMMALN('Read me'!$B$6)-GAMMALN(5+1)+'Read me'!$B$6*LN('Read me'!$B$6/('Read me'!$B$6+L48))+5*LN(L48/('Read me'!$B$6+L48)))+EXP(GAMMALN(6+'Read me'!$B$6)-GAMMALN('Read me'!$B$6)-GAMMALN(6+1)+'Read me'!$B$6*LN('Read me'!$B$6/('Read me'!$B$6+L48))+6*LN(L48/('Read me'!$B$6+L48)))),"")</f>
        <v/>
      </c>
      <c r="N48" s="16">
        <f>IFERROR(EXP(GAMMALN(7+'Read me'!$B$6)-GAMMALN('Read me'!$B$6)-GAMMALN(7+1)+'Read me'!$B$6*LN('Read me'!$B$6/('Read me'!$B$6+L48))+7*LN(L48/('Read me'!$B$6+L48))),"")</f>
        <v/>
      </c>
      <c r="O48" s="17">
        <f>IFERROR((1-N48)/M48,"")</f>
        <v/>
      </c>
      <c r="P48" s="18" t="n"/>
      <c r="Q48" s="19">
        <f>IF(P48="","",P48*M48+N48-1)</f>
        <v/>
      </c>
      <c r="R48" s="20">
        <f>IF(Q48="","awaiting price",IF(Q48&gt;='Read me'!$B$7,"BET",IF(Q48&gt;=0,"thin","no bet")))</f>
        <v/>
      </c>
    </row>
    <row r="49">
      <c r="A49" s="11" t="n">
        <v>46302</v>
      </c>
      <c r="B49" s="12" t="inlineStr">
        <is>
          <t>Brazil Série A</t>
        </is>
      </c>
      <c r="C49" s="12" t="inlineStr">
        <is>
          <t>Botafogo v Vasco DA Gama</t>
        </is>
      </c>
      <c r="D49" s="12" t="inlineStr">
        <is>
          <t>Vasco DA Gama</t>
        </is>
      </c>
      <c r="E49" s="12" t="inlineStr">
        <is>
          <t>Away</t>
        </is>
      </c>
      <c r="F49" s="12" t="inlineStr">
        <is>
          <t>Team over</t>
        </is>
      </c>
      <c r="G49" s="12" t="inlineStr">
        <is>
          <t>3+ team corners</t>
        </is>
      </c>
      <c r="H49" s="12" t="n">
        <v>8</v>
      </c>
      <c r="I49" s="12" t="n">
        <v>10</v>
      </c>
      <c r="J49" s="12" t="inlineStr">
        <is>
          <t>5/5</t>
        </is>
      </c>
      <c r="K49" s="13" t="n">
        <v>7.4</v>
      </c>
      <c r="L49" s="14" t="n">
        <v>4.75</v>
      </c>
      <c r="M49" s="15">
        <f>IFERROR(1-(EXP(GAMMALN(0+'Read me'!$B$6)-GAMMALN('Read me'!$B$6)-GAMMALN(0+1)+'Read me'!$B$6*LN('Read me'!$B$6/('Read me'!$B$6+L49))+0*LN(L49/('Read me'!$B$6+L49)))+EXP(GAMMALN(1+'Read me'!$B$6)-GAMMALN('Read me'!$B$6)-GAMMALN(1+1)+'Read me'!$B$6*LN('Read me'!$B$6/('Read me'!$B$6+L49))+1*LN(L49/('Read me'!$B$6+L49)))+EXP(GAMMALN(2+'Read me'!$B$6)-GAMMALN('Read me'!$B$6)-GAMMALN(2+1)+'Read me'!$B$6*LN('Read me'!$B$6/('Read me'!$B$6+L49))+2*LN(L49/('Read me'!$B$6+L49)))),"")</f>
        <v/>
      </c>
      <c r="N49" s="16" t="n">
        <v>0</v>
      </c>
      <c r="O49" s="17">
        <f>IFERROR(1/M49,"")</f>
        <v/>
      </c>
      <c r="P49" s="18" t="n"/>
      <c r="Q49" s="19">
        <f>IF(P49="","",P49*M49-1)</f>
        <v/>
      </c>
      <c r="R49" s="20">
        <f>IF(Q49="","awaiting price",IF(Q49&gt;='Read me'!$B$7,"BET",IF(Q49&gt;=0,"thin","no bet")))</f>
        <v/>
      </c>
    </row>
    <row r="50">
      <c r="A50" s="11" t="n">
        <v>46302</v>
      </c>
      <c r="B50" s="12" t="inlineStr">
        <is>
          <t>Brazil Série A</t>
        </is>
      </c>
      <c r="C50" s="12" t="inlineStr">
        <is>
          <t>Botafogo v Vasco DA Gama</t>
        </is>
      </c>
      <c r="D50" s="12" t="inlineStr">
        <is>
          <t>Botafogo</t>
        </is>
      </c>
      <c r="E50" s="12" t="inlineStr">
        <is>
          <t>Home</t>
        </is>
      </c>
      <c r="F50" s="12" t="inlineStr">
        <is>
          <t>Team over</t>
        </is>
      </c>
      <c r="G50" s="12" t="inlineStr">
        <is>
          <t>3+ team corners</t>
        </is>
      </c>
      <c r="H50" s="12" t="n">
        <v>8</v>
      </c>
      <c r="I50" s="12" t="n">
        <v>10</v>
      </c>
      <c r="J50" s="12" t="inlineStr">
        <is>
          <t>5/5</t>
        </is>
      </c>
      <c r="K50" s="13" t="n">
        <v>4</v>
      </c>
      <c r="L50" s="14" t="n">
        <v>5.38</v>
      </c>
      <c r="M50" s="15">
        <f>IFERROR(1-(EXP(GAMMALN(0+'Read me'!$B$6)-GAMMALN('Read me'!$B$6)-GAMMALN(0+1)+'Read me'!$B$6*LN('Read me'!$B$6/('Read me'!$B$6+L50))+0*LN(L50/('Read me'!$B$6+L50)))+EXP(GAMMALN(1+'Read me'!$B$6)-GAMMALN('Read me'!$B$6)-GAMMALN(1+1)+'Read me'!$B$6*LN('Read me'!$B$6/('Read me'!$B$6+L50))+1*LN(L50/('Read me'!$B$6+L50)))+EXP(GAMMALN(2+'Read me'!$B$6)-GAMMALN('Read me'!$B$6)-GAMMALN(2+1)+'Read me'!$B$6*LN('Read me'!$B$6/('Read me'!$B$6+L50))+2*LN(L50/('Read me'!$B$6+L50)))),"")</f>
        <v/>
      </c>
      <c r="N50" s="16" t="n">
        <v>0</v>
      </c>
      <c r="O50" s="17">
        <f>IFERROR(1/M50,"")</f>
        <v/>
      </c>
      <c r="P50" s="18" t="n"/>
      <c r="Q50" s="19">
        <f>IF(P50="","",P50*M50-1)</f>
        <v/>
      </c>
      <c r="R50" s="20">
        <f>IF(Q50="","awaiting price",IF(Q50&gt;='Read me'!$B$7,"BET",IF(Q50&gt;=0,"thin","no bet")))</f>
        <v/>
      </c>
    </row>
    <row r="51">
      <c r="A51" s="11" t="n">
        <v>46302</v>
      </c>
      <c r="B51" s="12" t="inlineStr">
        <is>
          <t>Brazil Série A</t>
        </is>
      </c>
      <c r="C51" s="12" t="inlineStr">
        <is>
          <t>Internacional v Corinthians</t>
        </is>
      </c>
      <c r="D51" s="12" t="inlineStr">
        <is>
          <t>Internacional</t>
        </is>
      </c>
      <c r="E51" s="12" t="inlineStr">
        <is>
          <t>Home</t>
        </is>
      </c>
      <c r="F51" s="12" t="inlineStr">
        <is>
          <t>Match under</t>
        </is>
      </c>
      <c r="G51" s="12" t="inlineStr">
        <is>
          <t>under 11 match corners</t>
        </is>
      </c>
      <c r="H51" s="12" t="n">
        <v>8</v>
      </c>
      <c r="I51" s="12" t="n">
        <v>8</v>
      </c>
      <c r="J51" s="12" t="inlineStr">
        <is>
          <t>4/4</t>
        </is>
      </c>
      <c r="K51" s="13" t="n">
        <v>7</v>
      </c>
      <c r="L51" s="14" t="n">
        <v>10.39</v>
      </c>
      <c r="M51" s="15">
        <f>IFERROR(POISSON(11-1,L51,TRUE),"")</f>
        <v/>
      </c>
      <c r="N51" s="16">
        <f>IFERROR(POISSON(11,L51,FALSE),"")</f>
        <v/>
      </c>
      <c r="O51" s="17">
        <f>IFERROR((1-N51)/M51,"")</f>
        <v/>
      </c>
      <c r="P51" s="18" t="n"/>
      <c r="Q51" s="19">
        <f>IF(P51="","",P51*M51+N51-1)</f>
        <v/>
      </c>
      <c r="R51" s="20">
        <f>IF(Q51="","awaiting price",IF(Q51&gt;='Read me'!$B$7,"BET",IF(Q51&gt;=0,"thin","no bet")))</f>
        <v/>
      </c>
    </row>
    <row r="52">
      <c r="A52" s="11" t="n">
        <v>46297</v>
      </c>
      <c r="B52" s="12" t="inlineStr">
        <is>
          <t>Brazil Série A</t>
        </is>
      </c>
      <c r="C52" s="12" t="inlineStr">
        <is>
          <t>Sao Paulo v Santos</t>
        </is>
      </c>
      <c r="D52" s="12" t="inlineStr">
        <is>
          <t>Sao Paulo</t>
        </is>
      </c>
      <c r="E52" s="12" t="inlineStr">
        <is>
          <t>Home</t>
        </is>
      </c>
      <c r="F52" s="12" t="inlineStr">
        <is>
          <t>Team over</t>
        </is>
      </c>
      <c r="G52" s="12" t="inlineStr">
        <is>
          <t>3+ team corners</t>
        </is>
      </c>
      <c r="H52" s="12" t="n">
        <v>7</v>
      </c>
      <c r="I52" s="12" t="n">
        <v>12</v>
      </c>
      <c r="J52" s="12" t="inlineStr">
        <is>
          <t>5/5</t>
        </is>
      </c>
      <c r="K52" s="13" t="n">
        <v>7.4</v>
      </c>
      <c r="L52" s="14" t="n">
        <v>7.44</v>
      </c>
      <c r="M52" s="15">
        <f>IFERROR(1-(EXP(GAMMALN(0+'Read me'!$B$6)-GAMMALN('Read me'!$B$6)-GAMMALN(0+1)+'Read me'!$B$6*LN('Read me'!$B$6/('Read me'!$B$6+L52))+0*LN(L52/('Read me'!$B$6+L52)))+EXP(GAMMALN(1+'Read me'!$B$6)-GAMMALN('Read me'!$B$6)-GAMMALN(1+1)+'Read me'!$B$6*LN('Read me'!$B$6/('Read me'!$B$6+L52))+1*LN(L52/('Read me'!$B$6+L52)))+EXP(GAMMALN(2+'Read me'!$B$6)-GAMMALN('Read me'!$B$6)-GAMMALN(2+1)+'Read me'!$B$6*LN('Read me'!$B$6/('Read me'!$B$6+L52))+2*LN(L52/('Read me'!$B$6+L52)))),"")</f>
        <v/>
      </c>
      <c r="N52" s="16" t="n">
        <v>0</v>
      </c>
      <c r="O52" s="17">
        <f>IFERROR(1/M52,"")</f>
        <v/>
      </c>
      <c r="P52" s="18" t="n"/>
      <c r="Q52" s="19">
        <f>IF(P52="","",P52*M52-1)</f>
        <v/>
      </c>
      <c r="R52" s="20">
        <f>IF(Q52="","awaiting price",IF(Q52&gt;='Read me'!$B$7,"BET",IF(Q52&gt;=0,"thin","no bet")))</f>
        <v/>
      </c>
    </row>
    <row r="53">
      <c r="A53" s="11" t="n">
        <v>46297</v>
      </c>
      <c r="B53" s="12" t="inlineStr">
        <is>
          <t>Brazil Série B</t>
        </is>
      </c>
      <c r="C53" s="12" t="inlineStr">
        <is>
          <t>Juventude v Operario-PR</t>
        </is>
      </c>
      <c r="D53" s="12" t="inlineStr">
        <is>
          <t>Juventude</t>
        </is>
      </c>
      <c r="E53" s="12" t="inlineStr">
        <is>
          <t>Home</t>
        </is>
      </c>
      <c r="F53" s="12" t="inlineStr">
        <is>
          <t>Match under</t>
        </is>
      </c>
      <c r="G53" s="12" t="inlineStr">
        <is>
          <t>under 12 match corners</t>
        </is>
      </c>
      <c r="H53" s="12" t="n">
        <v>7</v>
      </c>
      <c r="I53" s="12" t="n">
        <v>8</v>
      </c>
      <c r="J53" s="12" t="inlineStr">
        <is>
          <t>4/4</t>
        </is>
      </c>
      <c r="K53" s="13" t="n">
        <v>7.8</v>
      </c>
      <c r="L53" s="14" t="n">
        <v>9.029999999999999</v>
      </c>
      <c r="M53" s="15">
        <f>IFERROR(POISSON(12-1,L53,TRUE),"")</f>
        <v/>
      </c>
      <c r="N53" s="16">
        <f>IFERROR(POISSON(12,L53,FALSE),"")</f>
        <v/>
      </c>
      <c r="O53" s="17">
        <f>IFERROR((1-N53)/M53,"")</f>
        <v/>
      </c>
      <c r="P53" s="18" t="n"/>
      <c r="Q53" s="19">
        <f>IF(P53="","",P53*M53+N53-1)</f>
        <v/>
      </c>
      <c r="R53" s="20">
        <f>IF(Q53="","awaiting price",IF(Q53&gt;='Read me'!$B$7,"BET",IF(Q53&gt;=0,"thin","no bet")))</f>
        <v/>
      </c>
    </row>
    <row r="54">
      <c r="A54" s="11" t="n">
        <v>46298</v>
      </c>
      <c r="B54" s="12" t="inlineStr">
        <is>
          <t>England League One</t>
        </is>
      </c>
      <c r="C54" s="12" t="inlineStr">
        <is>
          <t>Wigan v Mansfield Town</t>
        </is>
      </c>
      <c r="D54" s="12" t="inlineStr">
        <is>
          <t>Wigan</t>
        </is>
      </c>
      <c r="E54" s="12" t="inlineStr">
        <is>
          <t>Home</t>
        </is>
      </c>
      <c r="F54" s="12" t="inlineStr">
        <is>
          <t>Team over</t>
        </is>
      </c>
      <c r="G54" s="12" t="inlineStr">
        <is>
          <t>4+ team corners</t>
        </is>
      </c>
      <c r="H54" s="12" t="n">
        <v>7</v>
      </c>
      <c r="I54" s="12" t="n">
        <v>7</v>
      </c>
      <c r="J54" s="12" t="inlineStr">
        <is>
          <t>5/5</t>
        </is>
      </c>
      <c r="K54" s="13" t="n">
        <v>6.2</v>
      </c>
      <c r="L54" s="14" t="n">
        <v>5.07</v>
      </c>
      <c r="M54" s="15">
        <f>IFERROR(1-(EXP(GAMMALN(0+'Read me'!$B$6)-GAMMALN('Read me'!$B$6)-GAMMALN(0+1)+'Read me'!$B$6*LN('Read me'!$B$6/('Read me'!$B$6+L54))+0*LN(L54/('Read me'!$B$6+L54)))+EXP(GAMMALN(1+'Read me'!$B$6)-GAMMALN('Read me'!$B$6)-GAMMALN(1+1)+'Read me'!$B$6*LN('Read me'!$B$6/('Read me'!$B$6+L54))+1*LN(L54/('Read me'!$B$6+L54)))+EXP(GAMMALN(2+'Read me'!$B$6)-GAMMALN('Read me'!$B$6)-GAMMALN(2+1)+'Read me'!$B$6*LN('Read me'!$B$6/('Read me'!$B$6+L54))+2*LN(L54/('Read me'!$B$6+L54)))+EXP(GAMMALN(3+'Read me'!$B$6)-GAMMALN('Read me'!$B$6)-GAMMALN(3+1)+'Read me'!$B$6*LN('Read me'!$B$6/('Read me'!$B$6+L54))+3*LN(L54/('Read me'!$B$6+L54)))),"")</f>
        <v/>
      </c>
      <c r="N54" s="16" t="n">
        <v>0</v>
      </c>
      <c r="O54" s="17">
        <f>IFERROR(1/M54,"")</f>
        <v/>
      </c>
      <c r="P54" s="18" t="n"/>
      <c r="Q54" s="19">
        <f>IF(P54="","",P54*M54-1)</f>
        <v/>
      </c>
      <c r="R54" s="20">
        <f>IF(Q54="","awaiting price",IF(Q54&gt;='Read me'!$B$7,"BET",IF(Q54&gt;=0,"thin","no bet")))</f>
        <v/>
      </c>
    </row>
    <row r="55">
      <c r="A55" s="11" t="n">
        <v>46298</v>
      </c>
      <c r="B55" s="12" t="inlineStr">
        <is>
          <t>Brazil Série B</t>
        </is>
      </c>
      <c r="C55" s="12" t="inlineStr">
        <is>
          <t>Atletico Goianiense v America Mineiro</t>
        </is>
      </c>
      <c r="D55" s="12" t="inlineStr">
        <is>
          <t>Atletico Goianiense</t>
        </is>
      </c>
      <c r="E55" s="12" t="inlineStr">
        <is>
          <t>Home</t>
        </is>
      </c>
      <c r="F55" s="12" t="inlineStr">
        <is>
          <t>Team over</t>
        </is>
      </c>
      <c r="G55" s="12" t="inlineStr">
        <is>
          <t>3+ team corners</t>
        </is>
      </c>
      <c r="H55" s="12" t="n">
        <v>7</v>
      </c>
      <c r="I55" s="12" t="n">
        <v>7</v>
      </c>
      <c r="J55" s="12" t="inlineStr">
        <is>
          <t>5/5</t>
        </is>
      </c>
      <c r="K55" s="13" t="n">
        <v>5.2</v>
      </c>
      <c r="L55" s="14" t="n">
        <v>6.72</v>
      </c>
      <c r="M55" s="15">
        <f>IFERROR(1-(EXP(GAMMALN(0+'Read me'!$B$6)-GAMMALN('Read me'!$B$6)-GAMMALN(0+1)+'Read me'!$B$6*LN('Read me'!$B$6/('Read me'!$B$6+L55))+0*LN(L55/('Read me'!$B$6+L55)))+EXP(GAMMALN(1+'Read me'!$B$6)-GAMMALN('Read me'!$B$6)-GAMMALN(1+1)+'Read me'!$B$6*LN('Read me'!$B$6/('Read me'!$B$6+L55))+1*LN(L55/('Read me'!$B$6+L55)))+EXP(GAMMALN(2+'Read me'!$B$6)-GAMMALN('Read me'!$B$6)-GAMMALN(2+1)+'Read me'!$B$6*LN('Read me'!$B$6/('Read me'!$B$6+L55))+2*LN(L55/('Read me'!$B$6+L55)))),"")</f>
        <v/>
      </c>
      <c r="N55" s="16" t="n">
        <v>0</v>
      </c>
      <c r="O55" s="17">
        <f>IFERROR(1/M55,"")</f>
        <v/>
      </c>
      <c r="P55" s="18" t="n"/>
      <c r="Q55" s="19">
        <f>IF(P55="","",P55*M55-1)</f>
        <v/>
      </c>
      <c r="R55" s="20">
        <f>IF(Q55="","awaiting price",IF(Q55&gt;='Read me'!$B$7,"BET",IF(Q55&gt;=0,"thin","no bet")))</f>
        <v/>
      </c>
    </row>
    <row r="56">
      <c r="A56" s="11" t="n">
        <v>46298</v>
      </c>
      <c r="B56" s="12" t="inlineStr">
        <is>
          <t>England League Two</t>
        </is>
      </c>
      <c r="C56" s="12" t="inlineStr">
        <is>
          <t>Salford City v Fleetwood Town</t>
        </is>
      </c>
      <c r="D56" s="12" t="inlineStr">
        <is>
          <t>Fleetwood Town</t>
        </is>
      </c>
      <c r="E56" s="12" t="inlineStr">
        <is>
          <t>Away</t>
        </is>
      </c>
      <c r="F56" s="12" t="inlineStr">
        <is>
          <t>Team over</t>
        </is>
      </c>
      <c r="G56" s="12" t="inlineStr">
        <is>
          <t>3+ team corners</t>
        </is>
      </c>
      <c r="H56" s="12" t="n">
        <v>7</v>
      </c>
      <c r="I56" s="12" t="n">
        <v>7</v>
      </c>
      <c r="J56" s="12" t="inlineStr">
        <is>
          <t>5/5</t>
        </is>
      </c>
      <c r="K56" s="13" t="n">
        <v>4.8</v>
      </c>
      <c r="L56" s="14" t="n">
        <v>3.77</v>
      </c>
      <c r="M56" s="15">
        <f>IFERROR(1-(EXP(GAMMALN(0+'Read me'!$B$6)-GAMMALN('Read me'!$B$6)-GAMMALN(0+1)+'Read me'!$B$6*LN('Read me'!$B$6/('Read me'!$B$6+L56))+0*LN(L56/('Read me'!$B$6+L56)))+EXP(GAMMALN(1+'Read me'!$B$6)-GAMMALN('Read me'!$B$6)-GAMMALN(1+1)+'Read me'!$B$6*LN('Read me'!$B$6/('Read me'!$B$6+L56))+1*LN(L56/('Read me'!$B$6+L56)))+EXP(GAMMALN(2+'Read me'!$B$6)-GAMMALN('Read me'!$B$6)-GAMMALN(2+1)+'Read me'!$B$6*LN('Read me'!$B$6/('Read me'!$B$6+L56))+2*LN(L56/('Read me'!$B$6+L56)))),"")</f>
        <v/>
      </c>
      <c r="N56" s="16" t="n">
        <v>0</v>
      </c>
      <c r="O56" s="17">
        <f>IFERROR(1/M56,"")</f>
        <v/>
      </c>
      <c r="P56" s="18" t="n"/>
      <c r="Q56" s="19">
        <f>IF(P56="","",P56*M56-1)</f>
        <v/>
      </c>
      <c r="R56" s="20">
        <f>IF(Q56="","awaiting price",IF(Q56&gt;='Read me'!$B$7,"BET",IF(Q56&gt;=0,"thin","no bet")))</f>
        <v/>
      </c>
    </row>
    <row r="57">
      <c r="A57" s="11" t="n">
        <v>46298</v>
      </c>
      <c r="B57" s="12" t="inlineStr">
        <is>
          <t>Brazil Série B</t>
        </is>
      </c>
      <c r="C57" s="12" t="inlineStr">
        <is>
          <t>Atletico Goianiense v America Mineiro</t>
        </is>
      </c>
      <c r="D57" s="12" t="inlineStr">
        <is>
          <t>America Mineiro</t>
        </is>
      </c>
      <c r="E57" s="12" t="inlineStr">
        <is>
          <t>Away</t>
        </is>
      </c>
      <c r="F57" s="12" t="inlineStr">
        <is>
          <t>Team over</t>
        </is>
      </c>
      <c r="G57" s="12" t="inlineStr">
        <is>
          <t>3+ team corners</t>
        </is>
      </c>
      <c r="H57" s="12" t="n">
        <v>7</v>
      </c>
      <c r="I57" s="12" t="n">
        <v>7</v>
      </c>
      <c r="J57" s="12" t="inlineStr">
        <is>
          <t>5/5</t>
        </is>
      </c>
      <c r="K57" s="13" t="n">
        <v>4.2</v>
      </c>
      <c r="L57" s="14" t="n">
        <v>4.4</v>
      </c>
      <c r="M57" s="15">
        <f>IFERROR(1-(EXP(GAMMALN(0+'Read me'!$B$6)-GAMMALN('Read me'!$B$6)-GAMMALN(0+1)+'Read me'!$B$6*LN('Read me'!$B$6/('Read me'!$B$6+L57))+0*LN(L57/('Read me'!$B$6+L57)))+EXP(GAMMALN(1+'Read me'!$B$6)-GAMMALN('Read me'!$B$6)-GAMMALN(1+1)+'Read me'!$B$6*LN('Read me'!$B$6/('Read me'!$B$6+L57))+1*LN(L57/('Read me'!$B$6+L57)))+EXP(GAMMALN(2+'Read me'!$B$6)-GAMMALN('Read me'!$B$6)-GAMMALN(2+1)+'Read me'!$B$6*LN('Read me'!$B$6/('Read me'!$B$6+L57))+2*LN(L57/('Read me'!$B$6+L57)))),"")</f>
        <v/>
      </c>
      <c r="N57" s="16" t="n">
        <v>0</v>
      </c>
      <c r="O57" s="17">
        <f>IFERROR(1/M57,"")</f>
        <v/>
      </c>
      <c r="P57" s="18" t="n"/>
      <c r="Q57" s="19">
        <f>IF(P57="","",P57*M57-1)</f>
        <v/>
      </c>
      <c r="R57" s="20">
        <f>IF(Q57="","awaiting price",IF(Q57&gt;='Read me'!$B$7,"BET",IF(Q57&gt;=0,"thin","no bet")))</f>
        <v/>
      </c>
    </row>
    <row r="58">
      <c r="A58" s="11" t="n">
        <v>46298</v>
      </c>
      <c r="B58" s="12" t="inlineStr">
        <is>
          <t>Netherlands Eerste Divisie</t>
        </is>
      </c>
      <c r="C58" s="12" t="inlineStr">
        <is>
          <t>FC Eindhoven v De Graafschap</t>
        </is>
      </c>
      <c r="D58" s="12" t="inlineStr">
        <is>
          <t>FC Eindhoven</t>
        </is>
      </c>
      <c r="E58" s="12" t="inlineStr">
        <is>
          <t>Home</t>
        </is>
      </c>
      <c r="F58" s="12" t="inlineStr">
        <is>
          <t>Team under</t>
        </is>
      </c>
      <c r="G58" s="12" t="inlineStr">
        <is>
          <t>under 6 team corners</t>
        </is>
      </c>
      <c r="H58" s="12" t="n">
        <v>7</v>
      </c>
      <c r="I58" s="12" t="n">
        <v>7</v>
      </c>
      <c r="J58" s="12" t="inlineStr">
        <is>
          <t>4/4</t>
        </is>
      </c>
      <c r="K58" s="13" t="n">
        <v>2.8</v>
      </c>
      <c r="L58" s="14" t="n">
        <v>5.21</v>
      </c>
      <c r="M58" s="15">
        <f>IFERROR((EXP(GAMMALN(0+'Read me'!$B$6)-GAMMALN('Read me'!$B$6)-GAMMALN(0+1)+'Read me'!$B$6*LN('Read me'!$B$6/('Read me'!$B$6+L58))+0*LN(L58/('Read me'!$B$6+L58)))+EXP(GAMMALN(1+'Read me'!$B$6)-GAMMALN('Read me'!$B$6)-GAMMALN(1+1)+'Read me'!$B$6*LN('Read me'!$B$6/('Read me'!$B$6+L58))+1*LN(L58/('Read me'!$B$6+L58)))+EXP(GAMMALN(2+'Read me'!$B$6)-GAMMALN('Read me'!$B$6)-GAMMALN(2+1)+'Read me'!$B$6*LN('Read me'!$B$6/('Read me'!$B$6+L58))+2*LN(L58/('Read me'!$B$6+L58)))+EXP(GAMMALN(3+'Read me'!$B$6)-GAMMALN('Read me'!$B$6)-GAMMALN(3+1)+'Read me'!$B$6*LN('Read me'!$B$6/('Read me'!$B$6+L58))+3*LN(L58/('Read me'!$B$6+L58)))+EXP(GAMMALN(4+'Read me'!$B$6)-GAMMALN('Read me'!$B$6)-GAMMALN(4+1)+'Read me'!$B$6*LN('Read me'!$B$6/('Read me'!$B$6+L58))+4*LN(L58/('Read me'!$B$6+L58)))+EXP(GAMMALN(5+'Read me'!$B$6)-GAMMALN('Read me'!$B$6)-GAMMALN(5+1)+'Read me'!$B$6*LN('Read me'!$B$6/('Read me'!$B$6+L58))+5*LN(L58/('Read me'!$B$6+L58)))),"")</f>
        <v/>
      </c>
      <c r="N58" s="16">
        <f>IFERROR(EXP(GAMMALN(6+'Read me'!$B$6)-GAMMALN('Read me'!$B$6)-GAMMALN(6+1)+'Read me'!$B$6*LN('Read me'!$B$6/('Read me'!$B$6+L58))+6*LN(L58/('Read me'!$B$6+L58))),"")</f>
        <v/>
      </c>
      <c r="O58" s="17">
        <f>IFERROR((1-N58)/M58,"")</f>
        <v/>
      </c>
      <c r="P58" s="18" t="n"/>
      <c r="Q58" s="19">
        <f>IF(P58="","",P58*M58+N58-1)</f>
        <v/>
      </c>
      <c r="R58" s="20">
        <f>IF(Q58="","awaiting price",IF(Q58&gt;='Read me'!$B$7,"BET",IF(Q58&gt;=0,"thin","no bet")))</f>
        <v/>
      </c>
    </row>
    <row r="59">
      <c r="A59" s="11" t="n">
        <v>46298</v>
      </c>
      <c r="B59" s="12" t="inlineStr">
        <is>
          <t>Netherlands Eerste Divisie</t>
        </is>
      </c>
      <c r="C59" s="12" t="inlineStr">
        <is>
          <t>FC OSS v MVV</t>
        </is>
      </c>
      <c r="D59" s="12" t="inlineStr">
        <is>
          <t>MVV</t>
        </is>
      </c>
      <c r="E59" s="12" t="inlineStr">
        <is>
          <t>Away</t>
        </is>
      </c>
      <c r="F59" s="12" t="inlineStr">
        <is>
          <t>Team under</t>
        </is>
      </c>
      <c r="G59" s="12" t="inlineStr">
        <is>
          <t>under 6 team corners</t>
        </is>
      </c>
      <c r="H59" s="12" t="n">
        <v>7</v>
      </c>
      <c r="I59" s="12" t="n">
        <v>7</v>
      </c>
      <c r="J59" s="12" t="inlineStr">
        <is>
          <t>4/4</t>
        </is>
      </c>
      <c r="K59" s="13" t="n">
        <v>4.2</v>
      </c>
      <c r="L59" s="14" t="n">
        <v>4.19</v>
      </c>
      <c r="M59" s="15">
        <f>IFERROR((EXP(GAMMALN(0+'Read me'!$B$6)-GAMMALN('Read me'!$B$6)-GAMMALN(0+1)+'Read me'!$B$6*LN('Read me'!$B$6/('Read me'!$B$6+L59))+0*LN(L59/('Read me'!$B$6+L59)))+EXP(GAMMALN(1+'Read me'!$B$6)-GAMMALN('Read me'!$B$6)-GAMMALN(1+1)+'Read me'!$B$6*LN('Read me'!$B$6/('Read me'!$B$6+L59))+1*LN(L59/('Read me'!$B$6+L59)))+EXP(GAMMALN(2+'Read me'!$B$6)-GAMMALN('Read me'!$B$6)-GAMMALN(2+1)+'Read me'!$B$6*LN('Read me'!$B$6/('Read me'!$B$6+L59))+2*LN(L59/('Read me'!$B$6+L59)))+EXP(GAMMALN(3+'Read me'!$B$6)-GAMMALN('Read me'!$B$6)-GAMMALN(3+1)+'Read me'!$B$6*LN('Read me'!$B$6/('Read me'!$B$6+L59))+3*LN(L59/('Read me'!$B$6+L59)))+EXP(GAMMALN(4+'Read me'!$B$6)-GAMMALN('Read me'!$B$6)-GAMMALN(4+1)+'Read me'!$B$6*LN('Read me'!$B$6/('Read me'!$B$6+L59))+4*LN(L59/('Read me'!$B$6+L59)))+EXP(GAMMALN(5+'Read me'!$B$6)-GAMMALN('Read me'!$B$6)-GAMMALN(5+1)+'Read me'!$B$6*LN('Read me'!$B$6/('Read me'!$B$6+L59))+5*LN(L59/('Read me'!$B$6+L59)))),"")</f>
        <v/>
      </c>
      <c r="N59" s="16">
        <f>IFERROR(EXP(GAMMALN(6+'Read me'!$B$6)-GAMMALN('Read me'!$B$6)-GAMMALN(6+1)+'Read me'!$B$6*LN('Read me'!$B$6/('Read me'!$B$6+L59))+6*LN(L59/('Read me'!$B$6+L59))),"")</f>
        <v/>
      </c>
      <c r="O59" s="17">
        <f>IFERROR((1-N59)/M59,"")</f>
        <v/>
      </c>
      <c r="P59" s="18" t="n"/>
      <c r="Q59" s="19">
        <f>IF(P59="","",P59*M59+N59-1)</f>
        <v/>
      </c>
      <c r="R59" s="20">
        <f>IF(Q59="","awaiting price",IF(Q59&gt;='Read me'!$B$7,"BET",IF(Q59&gt;=0,"thin","no bet")))</f>
        <v/>
      </c>
    </row>
    <row r="60">
      <c r="A60" s="11" t="n">
        <v>46298</v>
      </c>
      <c r="B60" s="12" t="inlineStr">
        <is>
          <t>England League Two</t>
        </is>
      </c>
      <c r="C60" s="12" t="inlineStr">
        <is>
          <t>Exeter City v Rotherham</t>
        </is>
      </c>
      <c r="D60" s="12" t="inlineStr">
        <is>
          <t>Rotherham</t>
        </is>
      </c>
      <c r="E60" s="12" t="inlineStr">
        <is>
          <t>Away</t>
        </is>
      </c>
      <c r="F60" s="12" t="inlineStr">
        <is>
          <t>Team under</t>
        </is>
      </c>
      <c r="G60" s="12" t="inlineStr">
        <is>
          <t>under 7 team corners</t>
        </is>
      </c>
      <c r="H60" s="12" t="n">
        <v>7</v>
      </c>
      <c r="I60" s="12" t="n">
        <v>7</v>
      </c>
      <c r="J60" s="12" t="inlineStr">
        <is>
          <t>4/4</t>
        </is>
      </c>
      <c r="K60" s="13" t="n">
        <v>4.4</v>
      </c>
      <c r="L60" s="14" t="n">
        <v>3.96</v>
      </c>
      <c r="M60" s="15">
        <f>IFERROR((EXP(GAMMALN(0+'Read me'!$B$6)-GAMMALN('Read me'!$B$6)-GAMMALN(0+1)+'Read me'!$B$6*LN('Read me'!$B$6/('Read me'!$B$6+L60))+0*LN(L60/('Read me'!$B$6+L60)))+EXP(GAMMALN(1+'Read me'!$B$6)-GAMMALN('Read me'!$B$6)-GAMMALN(1+1)+'Read me'!$B$6*LN('Read me'!$B$6/('Read me'!$B$6+L60))+1*LN(L60/('Read me'!$B$6+L60)))+EXP(GAMMALN(2+'Read me'!$B$6)-GAMMALN('Read me'!$B$6)-GAMMALN(2+1)+'Read me'!$B$6*LN('Read me'!$B$6/('Read me'!$B$6+L60))+2*LN(L60/('Read me'!$B$6+L60)))+EXP(GAMMALN(3+'Read me'!$B$6)-GAMMALN('Read me'!$B$6)-GAMMALN(3+1)+'Read me'!$B$6*LN('Read me'!$B$6/('Read me'!$B$6+L60))+3*LN(L60/('Read me'!$B$6+L60)))+EXP(GAMMALN(4+'Read me'!$B$6)-GAMMALN('Read me'!$B$6)-GAMMALN(4+1)+'Read me'!$B$6*LN('Read me'!$B$6/('Read me'!$B$6+L60))+4*LN(L60/('Read me'!$B$6+L60)))+EXP(GAMMALN(5+'Read me'!$B$6)-GAMMALN('Read me'!$B$6)-GAMMALN(5+1)+'Read me'!$B$6*LN('Read me'!$B$6/('Read me'!$B$6+L60))+5*LN(L60/('Read me'!$B$6+L60)))+EXP(GAMMALN(6+'Read me'!$B$6)-GAMMALN('Read me'!$B$6)-GAMMALN(6+1)+'Read me'!$B$6*LN('Read me'!$B$6/('Read me'!$B$6+L60))+6*LN(L60/('Read me'!$B$6+L60)))),"")</f>
        <v/>
      </c>
      <c r="N60" s="16">
        <f>IFERROR(EXP(GAMMALN(7+'Read me'!$B$6)-GAMMALN('Read me'!$B$6)-GAMMALN(7+1)+'Read me'!$B$6*LN('Read me'!$B$6/('Read me'!$B$6+L60))+7*LN(L60/('Read me'!$B$6+L60))),"")</f>
        <v/>
      </c>
      <c r="O60" s="17">
        <f>IFERROR((1-N60)/M60,"")</f>
        <v/>
      </c>
      <c r="P60" s="18" t="n"/>
      <c r="Q60" s="19">
        <f>IF(P60="","",P60*M60+N60-1)</f>
        <v/>
      </c>
      <c r="R60" s="20">
        <f>IF(Q60="","awaiting price",IF(Q60&gt;='Read me'!$B$7,"BET",IF(Q60&gt;=0,"thin","no bet")))</f>
        <v/>
      </c>
    </row>
    <row r="61">
      <c r="A61" s="11" t="n">
        <v>46298</v>
      </c>
      <c r="B61" s="12" t="inlineStr">
        <is>
          <t>Netherlands Eerste Divisie</t>
        </is>
      </c>
      <c r="C61" s="12" t="inlineStr">
        <is>
          <t>Almere City FC v FC Volendam</t>
        </is>
      </c>
      <c r="D61" s="12" t="inlineStr">
        <is>
          <t>FC Volendam</t>
        </is>
      </c>
      <c r="E61" s="12" t="inlineStr">
        <is>
          <t>Away</t>
        </is>
      </c>
      <c r="F61" s="12" t="inlineStr">
        <is>
          <t>Team under</t>
        </is>
      </c>
      <c r="G61" s="12" t="inlineStr">
        <is>
          <t>under 8 team corners</t>
        </is>
      </c>
      <c r="H61" s="12" t="n">
        <v>7</v>
      </c>
      <c r="I61" s="12" t="n">
        <v>7</v>
      </c>
      <c r="J61" s="12" t="inlineStr">
        <is>
          <t>4/4</t>
        </is>
      </c>
      <c r="K61" s="13" t="n">
        <v>4</v>
      </c>
      <c r="L61" s="14" t="n">
        <v>3.22</v>
      </c>
      <c r="M61" s="15">
        <f>IFERROR((EXP(GAMMALN(0+'Read me'!$B$6)-GAMMALN('Read me'!$B$6)-GAMMALN(0+1)+'Read me'!$B$6*LN('Read me'!$B$6/('Read me'!$B$6+L61))+0*LN(L61/('Read me'!$B$6+L61)))+EXP(GAMMALN(1+'Read me'!$B$6)-GAMMALN('Read me'!$B$6)-GAMMALN(1+1)+'Read me'!$B$6*LN('Read me'!$B$6/('Read me'!$B$6+L61))+1*LN(L61/('Read me'!$B$6+L61)))+EXP(GAMMALN(2+'Read me'!$B$6)-GAMMALN('Read me'!$B$6)-GAMMALN(2+1)+'Read me'!$B$6*LN('Read me'!$B$6/('Read me'!$B$6+L61))+2*LN(L61/('Read me'!$B$6+L61)))+EXP(GAMMALN(3+'Read me'!$B$6)-GAMMALN('Read me'!$B$6)-GAMMALN(3+1)+'Read me'!$B$6*LN('Read me'!$B$6/('Read me'!$B$6+L61))+3*LN(L61/('Read me'!$B$6+L61)))+EXP(GAMMALN(4+'Read me'!$B$6)-GAMMALN('Read me'!$B$6)-GAMMALN(4+1)+'Read me'!$B$6*LN('Read me'!$B$6/('Read me'!$B$6+L61))+4*LN(L61/('Read me'!$B$6+L61)))+EXP(GAMMALN(5+'Read me'!$B$6)-GAMMALN('Read me'!$B$6)-GAMMALN(5+1)+'Read me'!$B$6*LN('Read me'!$B$6/('Read me'!$B$6+L61))+5*LN(L61/('Read me'!$B$6+L61)))+EXP(GAMMALN(6+'Read me'!$B$6)-GAMMALN('Read me'!$B$6)-GAMMALN(6+1)+'Read me'!$B$6*LN('Read me'!$B$6/('Read me'!$B$6+L61))+6*LN(L61/('Read me'!$B$6+L61)))+EXP(GAMMALN(7+'Read me'!$B$6)-GAMMALN('Read me'!$B$6)-GAMMALN(7+1)+'Read me'!$B$6*LN('Read me'!$B$6/('Read me'!$B$6+L61))+7*LN(L61/('Read me'!$B$6+L61)))),"")</f>
        <v/>
      </c>
      <c r="N61" s="16">
        <f>IFERROR(EXP(GAMMALN(8+'Read me'!$B$6)-GAMMALN('Read me'!$B$6)-GAMMALN(8+1)+'Read me'!$B$6*LN('Read me'!$B$6/('Read me'!$B$6+L61))+8*LN(L61/('Read me'!$B$6+L61))),"")</f>
        <v/>
      </c>
      <c r="O61" s="17">
        <f>IFERROR((1-N61)/M61,"")</f>
        <v/>
      </c>
      <c r="P61" s="18" t="n"/>
      <c r="Q61" s="19">
        <f>IF(P61="","",P61*M61+N61-1)</f>
        <v/>
      </c>
      <c r="R61" s="20">
        <f>IF(Q61="","awaiting price",IF(Q61&gt;='Read me'!$B$7,"BET",IF(Q61&gt;=0,"thin","no bet")))</f>
        <v/>
      </c>
    </row>
    <row r="62">
      <c r="A62" s="11" t="n">
        <v>46298</v>
      </c>
      <c r="B62" s="12" t="inlineStr">
        <is>
          <t>Netherlands Eerste Divisie</t>
        </is>
      </c>
      <c r="C62" s="12" t="inlineStr">
        <is>
          <t>Den Bosch v Dordrecht</t>
        </is>
      </c>
      <c r="D62" s="12" t="inlineStr">
        <is>
          <t>Dordrecht</t>
        </is>
      </c>
      <c r="E62" s="12" t="inlineStr">
        <is>
          <t>Away</t>
        </is>
      </c>
      <c r="F62" s="12" t="inlineStr">
        <is>
          <t>Match under</t>
        </is>
      </c>
      <c r="G62" s="12" t="inlineStr">
        <is>
          <t>under 11 match corners</t>
        </is>
      </c>
      <c r="H62" s="12" t="n">
        <v>7</v>
      </c>
      <c r="I62" s="12" t="n">
        <v>7</v>
      </c>
      <c r="J62" s="12" t="inlineStr">
        <is>
          <t>4/4</t>
        </is>
      </c>
      <c r="K62" s="13" t="n">
        <v>8</v>
      </c>
      <c r="L62" s="14" t="n">
        <v>10.81</v>
      </c>
      <c r="M62" s="15">
        <f>IFERROR(POISSON(11-1,L62,TRUE),"")</f>
        <v/>
      </c>
      <c r="N62" s="16">
        <f>IFERROR(POISSON(11,L62,FALSE),"")</f>
        <v/>
      </c>
      <c r="O62" s="17">
        <f>IFERROR((1-N62)/M62,"")</f>
        <v/>
      </c>
      <c r="P62" s="18" t="n"/>
      <c r="Q62" s="19">
        <f>IF(P62="","",P62*M62+N62-1)</f>
        <v/>
      </c>
      <c r="R62" s="20">
        <f>IF(Q62="","awaiting price",IF(Q62&gt;='Read me'!$B$7,"BET",IF(Q62&gt;=0,"thin","no bet")))</f>
        <v/>
      </c>
    </row>
    <row r="63">
      <c r="A63" s="11" t="n">
        <v>46300</v>
      </c>
      <c r="B63" s="12" t="inlineStr">
        <is>
          <t>Argentina Liga Profesional</t>
        </is>
      </c>
      <c r="C63" s="12" t="inlineStr">
        <is>
          <t>Estudiantes L.P. v Gimnasia M.</t>
        </is>
      </c>
      <c r="D63" s="12" t="inlineStr">
        <is>
          <t>Estudiantes L.P.</t>
        </is>
      </c>
      <c r="E63" s="12" t="inlineStr">
        <is>
          <t>Home</t>
        </is>
      </c>
      <c r="F63" s="12" t="inlineStr">
        <is>
          <t>Match under</t>
        </is>
      </c>
      <c r="G63" s="12" t="inlineStr">
        <is>
          <t>under 9 match corners</t>
        </is>
      </c>
      <c r="H63" s="12" t="n">
        <v>7</v>
      </c>
      <c r="I63" s="12" t="n">
        <v>7</v>
      </c>
      <c r="J63" s="12" t="inlineStr">
        <is>
          <t>4/4</t>
        </is>
      </c>
      <c r="K63" s="13" t="n">
        <v>6.6</v>
      </c>
      <c r="L63" s="14" t="n">
        <v>7.85</v>
      </c>
      <c r="M63" s="15">
        <f>IFERROR(POISSON(9-1,L63,TRUE),"")</f>
        <v/>
      </c>
      <c r="N63" s="16">
        <f>IFERROR(POISSON(9,L63,FALSE),"")</f>
        <v/>
      </c>
      <c r="O63" s="17">
        <f>IFERROR((1-N63)/M63,"")</f>
        <v/>
      </c>
      <c r="P63" s="18" t="n"/>
      <c r="Q63" s="19">
        <f>IF(P63="","",P63*M63+N63-1)</f>
        <v/>
      </c>
      <c r="R63" s="20">
        <f>IF(Q63="","awaiting price",IF(Q63&gt;='Read me'!$B$7,"BET",IF(Q63&gt;=0,"thin","no bet")))</f>
        <v/>
      </c>
    </row>
    <row r="64">
      <c r="A64" s="11" t="n">
        <v>46297</v>
      </c>
      <c r="B64" s="12" t="inlineStr">
        <is>
          <t>Brazil Série B</t>
        </is>
      </c>
      <c r="C64" s="12" t="inlineStr">
        <is>
          <t>Londrina v Criciuma</t>
        </is>
      </c>
      <c r="D64" s="12" t="inlineStr">
        <is>
          <t>Londrina</t>
        </is>
      </c>
      <c r="E64" s="12" t="inlineStr">
        <is>
          <t>Home</t>
        </is>
      </c>
      <c r="F64" s="12" t="inlineStr">
        <is>
          <t>Team over</t>
        </is>
      </c>
      <c r="G64" s="12" t="inlineStr">
        <is>
          <t>5+ team corners</t>
        </is>
      </c>
      <c r="H64" s="12" t="n">
        <v>6</v>
      </c>
      <c r="I64" s="12" t="n">
        <v>6</v>
      </c>
      <c r="J64" s="12" t="inlineStr">
        <is>
          <t>5/5</t>
        </is>
      </c>
      <c r="K64" s="13" t="n">
        <v>7.2</v>
      </c>
      <c r="L64" s="14" t="n">
        <v>4.8</v>
      </c>
      <c r="M64" s="15">
        <f>IFERROR(1-(EXP(GAMMALN(0+'Read me'!$B$6)-GAMMALN('Read me'!$B$6)-GAMMALN(0+1)+'Read me'!$B$6*LN('Read me'!$B$6/('Read me'!$B$6+L64))+0*LN(L64/('Read me'!$B$6+L64)))+EXP(GAMMALN(1+'Read me'!$B$6)-GAMMALN('Read me'!$B$6)-GAMMALN(1+1)+'Read me'!$B$6*LN('Read me'!$B$6/('Read me'!$B$6+L64))+1*LN(L64/('Read me'!$B$6+L64)))+EXP(GAMMALN(2+'Read me'!$B$6)-GAMMALN('Read me'!$B$6)-GAMMALN(2+1)+'Read me'!$B$6*LN('Read me'!$B$6/('Read me'!$B$6+L64))+2*LN(L64/('Read me'!$B$6+L64)))+EXP(GAMMALN(3+'Read me'!$B$6)-GAMMALN('Read me'!$B$6)-GAMMALN(3+1)+'Read me'!$B$6*LN('Read me'!$B$6/('Read me'!$B$6+L64))+3*LN(L64/('Read me'!$B$6+L64)))+EXP(GAMMALN(4+'Read me'!$B$6)-GAMMALN('Read me'!$B$6)-GAMMALN(4+1)+'Read me'!$B$6*LN('Read me'!$B$6/('Read me'!$B$6+L64))+4*LN(L64/('Read me'!$B$6+L64)))),"")</f>
        <v/>
      </c>
      <c r="N64" s="16" t="n">
        <v>0</v>
      </c>
      <c r="O64" s="17">
        <f>IFERROR(1/M64,"")</f>
        <v/>
      </c>
      <c r="P64" s="18" t="n"/>
      <c r="Q64" s="19">
        <f>IF(P64="","",P64*M64-1)</f>
        <v/>
      </c>
      <c r="R64" s="20">
        <f>IF(Q64="","awaiting price",IF(Q64&gt;='Read me'!$B$7,"BET",IF(Q64&gt;=0,"thin","no bet")))</f>
        <v/>
      </c>
    </row>
    <row r="65">
      <c r="A65" s="11" t="n">
        <v>46297</v>
      </c>
      <c r="B65" s="12" t="inlineStr">
        <is>
          <t>Brazil Série B</t>
        </is>
      </c>
      <c r="C65" s="12" t="inlineStr">
        <is>
          <t>Juventude v Operario-PR</t>
        </is>
      </c>
      <c r="D65" s="12" t="inlineStr">
        <is>
          <t>Operario-PR</t>
        </is>
      </c>
      <c r="E65" s="12" t="inlineStr">
        <is>
          <t>Away</t>
        </is>
      </c>
      <c r="F65" s="12" t="inlineStr">
        <is>
          <t>Team under</t>
        </is>
      </c>
      <c r="G65" s="12" t="inlineStr">
        <is>
          <t>under 7 team corners</t>
        </is>
      </c>
      <c r="H65" s="12" t="n">
        <v>6</v>
      </c>
      <c r="I65" s="12" t="n">
        <v>6</v>
      </c>
      <c r="J65" s="12" t="inlineStr">
        <is>
          <t>4/4</t>
        </is>
      </c>
      <c r="K65" s="13" t="n">
        <v>2.8</v>
      </c>
      <c r="L65" s="14" t="n">
        <v>3.2</v>
      </c>
      <c r="M65" s="15">
        <f>IFERROR((EXP(GAMMALN(0+'Read me'!$B$6)-GAMMALN('Read me'!$B$6)-GAMMALN(0+1)+'Read me'!$B$6*LN('Read me'!$B$6/('Read me'!$B$6+L65))+0*LN(L65/('Read me'!$B$6+L65)))+EXP(GAMMALN(1+'Read me'!$B$6)-GAMMALN('Read me'!$B$6)-GAMMALN(1+1)+'Read me'!$B$6*LN('Read me'!$B$6/('Read me'!$B$6+L65))+1*LN(L65/('Read me'!$B$6+L65)))+EXP(GAMMALN(2+'Read me'!$B$6)-GAMMALN('Read me'!$B$6)-GAMMALN(2+1)+'Read me'!$B$6*LN('Read me'!$B$6/('Read me'!$B$6+L65))+2*LN(L65/('Read me'!$B$6+L65)))+EXP(GAMMALN(3+'Read me'!$B$6)-GAMMALN('Read me'!$B$6)-GAMMALN(3+1)+'Read me'!$B$6*LN('Read me'!$B$6/('Read me'!$B$6+L65))+3*LN(L65/('Read me'!$B$6+L65)))+EXP(GAMMALN(4+'Read me'!$B$6)-GAMMALN('Read me'!$B$6)-GAMMALN(4+1)+'Read me'!$B$6*LN('Read me'!$B$6/('Read me'!$B$6+L65))+4*LN(L65/('Read me'!$B$6+L65)))+EXP(GAMMALN(5+'Read me'!$B$6)-GAMMALN('Read me'!$B$6)-GAMMALN(5+1)+'Read me'!$B$6*LN('Read me'!$B$6/('Read me'!$B$6+L65))+5*LN(L65/('Read me'!$B$6+L65)))+EXP(GAMMALN(6+'Read me'!$B$6)-GAMMALN('Read me'!$B$6)-GAMMALN(6+1)+'Read me'!$B$6*LN('Read me'!$B$6/('Read me'!$B$6+L65))+6*LN(L65/('Read me'!$B$6+L65)))),"")</f>
        <v/>
      </c>
      <c r="N65" s="16">
        <f>IFERROR(EXP(GAMMALN(7+'Read me'!$B$6)-GAMMALN('Read me'!$B$6)-GAMMALN(7+1)+'Read me'!$B$6*LN('Read me'!$B$6/('Read me'!$B$6+L65))+7*LN(L65/('Read me'!$B$6+L65))),"")</f>
        <v/>
      </c>
      <c r="O65" s="17">
        <f>IFERROR((1-N65)/M65,"")</f>
        <v/>
      </c>
      <c r="P65" s="18" t="n"/>
      <c r="Q65" s="19">
        <f>IF(P65="","",P65*M65+N65-1)</f>
        <v/>
      </c>
      <c r="R65" s="20">
        <f>IF(Q65="","awaiting price",IF(Q65&gt;='Read me'!$B$7,"BET",IF(Q65&gt;=0,"thin","no bet")))</f>
        <v/>
      </c>
    </row>
    <row r="66">
      <c r="A66" s="11" t="n">
        <v>46298</v>
      </c>
      <c r="B66" s="12" t="inlineStr">
        <is>
          <t>Brazil Série B</t>
        </is>
      </c>
      <c r="C66" s="12" t="inlineStr">
        <is>
          <t>Fortaleza EC v Nautico Recife</t>
        </is>
      </c>
      <c r="D66" s="12" t="inlineStr">
        <is>
          <t>Nautico Recife</t>
        </is>
      </c>
      <c r="E66" s="12" t="inlineStr">
        <is>
          <t>Away</t>
        </is>
      </c>
      <c r="F66" s="12" t="inlineStr">
        <is>
          <t>Team over</t>
        </is>
      </c>
      <c r="G66" s="12" t="inlineStr">
        <is>
          <t>4+ team corners</t>
        </is>
      </c>
      <c r="H66" s="12" t="n">
        <v>6</v>
      </c>
      <c r="I66" s="12" t="n">
        <v>7</v>
      </c>
      <c r="J66" s="12" t="inlineStr">
        <is>
          <t>5/5</t>
        </is>
      </c>
      <c r="K66" s="13" t="n">
        <v>6.8</v>
      </c>
      <c r="L66" s="14" t="n">
        <v>4.69</v>
      </c>
      <c r="M66" s="15">
        <f>IFERROR(1-(EXP(GAMMALN(0+'Read me'!$B$6)-GAMMALN('Read me'!$B$6)-GAMMALN(0+1)+'Read me'!$B$6*LN('Read me'!$B$6/('Read me'!$B$6+L66))+0*LN(L66/('Read me'!$B$6+L66)))+EXP(GAMMALN(1+'Read me'!$B$6)-GAMMALN('Read me'!$B$6)-GAMMALN(1+1)+'Read me'!$B$6*LN('Read me'!$B$6/('Read me'!$B$6+L66))+1*LN(L66/('Read me'!$B$6+L66)))+EXP(GAMMALN(2+'Read me'!$B$6)-GAMMALN('Read me'!$B$6)-GAMMALN(2+1)+'Read me'!$B$6*LN('Read me'!$B$6/('Read me'!$B$6+L66))+2*LN(L66/('Read me'!$B$6+L66)))+EXP(GAMMALN(3+'Read me'!$B$6)-GAMMALN('Read me'!$B$6)-GAMMALN(3+1)+'Read me'!$B$6*LN('Read me'!$B$6/('Read me'!$B$6+L66))+3*LN(L66/('Read me'!$B$6+L66)))),"")</f>
        <v/>
      </c>
      <c r="N66" s="16" t="n">
        <v>0</v>
      </c>
      <c r="O66" s="17">
        <f>IFERROR(1/M66,"")</f>
        <v/>
      </c>
      <c r="P66" s="18" t="n"/>
      <c r="Q66" s="19">
        <f>IF(P66="","",P66*M66-1)</f>
        <v/>
      </c>
      <c r="R66" s="20">
        <f>IF(Q66="","awaiting price",IF(Q66&gt;='Read me'!$B$7,"BET",IF(Q66&gt;=0,"thin","no bet")))</f>
        <v/>
      </c>
    </row>
    <row r="67">
      <c r="A67" s="11" t="n">
        <v>46298</v>
      </c>
      <c r="B67" s="12" t="inlineStr">
        <is>
          <t>Argentina Liga Profesional</t>
        </is>
      </c>
      <c r="C67" s="12" t="inlineStr">
        <is>
          <t>Atletico Tucuman v Barracas Central</t>
        </is>
      </c>
      <c r="D67" s="12" t="inlineStr">
        <is>
          <t>Barracas Central</t>
        </is>
      </c>
      <c r="E67" s="12" t="inlineStr">
        <is>
          <t>Away</t>
        </is>
      </c>
      <c r="F67" s="12" t="inlineStr">
        <is>
          <t>Team over</t>
        </is>
      </c>
      <c r="G67" s="12" t="inlineStr">
        <is>
          <t>3+ team corners</t>
        </is>
      </c>
      <c r="H67" s="12" t="n">
        <v>6</v>
      </c>
      <c r="I67" s="12" t="n">
        <v>6</v>
      </c>
      <c r="J67" s="12" t="inlineStr">
        <is>
          <t>5/5</t>
        </is>
      </c>
      <c r="K67" s="13" t="n">
        <v>5</v>
      </c>
      <c r="L67" s="14" t="n">
        <v>3.34</v>
      </c>
      <c r="M67" s="15">
        <f>IFERROR(1-(EXP(GAMMALN(0+'Read me'!$B$6)-GAMMALN('Read me'!$B$6)-GAMMALN(0+1)+'Read me'!$B$6*LN('Read me'!$B$6/('Read me'!$B$6+L67))+0*LN(L67/('Read me'!$B$6+L67)))+EXP(GAMMALN(1+'Read me'!$B$6)-GAMMALN('Read me'!$B$6)-GAMMALN(1+1)+'Read me'!$B$6*LN('Read me'!$B$6/('Read me'!$B$6+L67))+1*LN(L67/('Read me'!$B$6+L67)))+EXP(GAMMALN(2+'Read me'!$B$6)-GAMMALN('Read me'!$B$6)-GAMMALN(2+1)+'Read me'!$B$6*LN('Read me'!$B$6/('Read me'!$B$6+L67))+2*LN(L67/('Read me'!$B$6+L67)))),"")</f>
        <v/>
      </c>
      <c r="N67" s="16" t="n">
        <v>0</v>
      </c>
      <c r="O67" s="17">
        <f>IFERROR(1/M67,"")</f>
        <v/>
      </c>
      <c r="P67" s="18" t="n"/>
      <c r="Q67" s="19">
        <f>IF(P67="","",P67*M67-1)</f>
        <v/>
      </c>
      <c r="R67" s="20">
        <f>IF(Q67="","awaiting price",IF(Q67&gt;='Read me'!$B$7,"BET",IF(Q67&gt;=0,"thin","no bet")))</f>
        <v/>
      </c>
    </row>
    <row r="68">
      <c r="A68" s="11" t="n">
        <v>46298</v>
      </c>
      <c r="B68" s="12" t="inlineStr">
        <is>
          <t>Netherlands Eerste Divisie</t>
        </is>
      </c>
      <c r="C68" s="12" t="inlineStr">
        <is>
          <t>FC OSS v MVV</t>
        </is>
      </c>
      <c r="D68" s="12" t="inlineStr">
        <is>
          <t>MVV</t>
        </is>
      </c>
      <c r="E68" s="12" t="inlineStr">
        <is>
          <t>Away</t>
        </is>
      </c>
      <c r="F68" s="12" t="inlineStr">
        <is>
          <t>Team over</t>
        </is>
      </c>
      <c r="G68" s="12" t="inlineStr">
        <is>
          <t>3+ team corners</t>
        </is>
      </c>
      <c r="H68" s="12" t="n">
        <v>6</v>
      </c>
      <c r="I68" s="12" t="n">
        <v>6</v>
      </c>
      <c r="J68" s="12" t="inlineStr">
        <is>
          <t>5/5</t>
        </is>
      </c>
      <c r="K68" s="13" t="n">
        <v>4.2</v>
      </c>
      <c r="L68" s="14" t="n">
        <v>4.19</v>
      </c>
      <c r="M68" s="15">
        <f>IFERROR(1-(EXP(GAMMALN(0+'Read me'!$B$6)-GAMMALN('Read me'!$B$6)-GAMMALN(0+1)+'Read me'!$B$6*LN('Read me'!$B$6/('Read me'!$B$6+L68))+0*LN(L68/('Read me'!$B$6+L68)))+EXP(GAMMALN(1+'Read me'!$B$6)-GAMMALN('Read me'!$B$6)-GAMMALN(1+1)+'Read me'!$B$6*LN('Read me'!$B$6/('Read me'!$B$6+L68))+1*LN(L68/('Read me'!$B$6+L68)))+EXP(GAMMALN(2+'Read me'!$B$6)-GAMMALN('Read me'!$B$6)-GAMMALN(2+1)+'Read me'!$B$6*LN('Read me'!$B$6/('Read me'!$B$6+L68))+2*LN(L68/('Read me'!$B$6+L68)))),"")</f>
        <v/>
      </c>
      <c r="N68" s="16" t="n">
        <v>0</v>
      </c>
      <c r="O68" s="17">
        <f>IFERROR(1/M68,"")</f>
        <v/>
      </c>
      <c r="P68" s="18" t="n"/>
      <c r="Q68" s="19">
        <f>IF(P68="","",P68*M68-1)</f>
        <v/>
      </c>
      <c r="R68" s="20">
        <f>IF(Q68="","awaiting price",IF(Q68&gt;='Read me'!$B$7,"BET",IF(Q68&gt;=0,"thin","no bet")))</f>
        <v/>
      </c>
    </row>
    <row r="69">
      <c r="A69" s="11" t="n">
        <v>46298</v>
      </c>
      <c r="B69" s="12" t="inlineStr">
        <is>
          <t>Argentina Liga Profesional</t>
        </is>
      </c>
      <c r="C69" s="12" t="inlineStr">
        <is>
          <t>Independ. Rivadavia v Gimnasia L.P.</t>
        </is>
      </c>
      <c r="D69" s="12" t="inlineStr">
        <is>
          <t>Independ. Rivadavia</t>
        </is>
      </c>
      <c r="E69" s="12" t="inlineStr">
        <is>
          <t>Home</t>
        </is>
      </c>
      <c r="F69" s="12" t="inlineStr">
        <is>
          <t>Team under</t>
        </is>
      </c>
      <c r="G69" s="12" t="inlineStr">
        <is>
          <t>under 5 team corners</t>
        </is>
      </c>
      <c r="H69" s="12" t="n">
        <v>6</v>
      </c>
      <c r="I69" s="12" t="n">
        <v>6</v>
      </c>
      <c r="J69" s="12" t="inlineStr">
        <is>
          <t>4/4</t>
        </is>
      </c>
      <c r="K69" s="13" t="n">
        <v>2.6</v>
      </c>
      <c r="L69" s="14" t="n">
        <v>5.81</v>
      </c>
      <c r="M69" s="15">
        <f>IFERROR((EXP(GAMMALN(0+'Read me'!$B$6)-GAMMALN('Read me'!$B$6)-GAMMALN(0+1)+'Read me'!$B$6*LN('Read me'!$B$6/('Read me'!$B$6+L69))+0*LN(L69/('Read me'!$B$6+L69)))+EXP(GAMMALN(1+'Read me'!$B$6)-GAMMALN('Read me'!$B$6)-GAMMALN(1+1)+'Read me'!$B$6*LN('Read me'!$B$6/('Read me'!$B$6+L69))+1*LN(L69/('Read me'!$B$6+L69)))+EXP(GAMMALN(2+'Read me'!$B$6)-GAMMALN('Read me'!$B$6)-GAMMALN(2+1)+'Read me'!$B$6*LN('Read me'!$B$6/('Read me'!$B$6+L69))+2*LN(L69/('Read me'!$B$6+L69)))+EXP(GAMMALN(3+'Read me'!$B$6)-GAMMALN('Read me'!$B$6)-GAMMALN(3+1)+'Read me'!$B$6*LN('Read me'!$B$6/('Read me'!$B$6+L69))+3*LN(L69/('Read me'!$B$6+L69)))+EXP(GAMMALN(4+'Read me'!$B$6)-GAMMALN('Read me'!$B$6)-GAMMALN(4+1)+'Read me'!$B$6*LN('Read me'!$B$6/('Read me'!$B$6+L69))+4*LN(L69/('Read me'!$B$6+L69)))),"")</f>
        <v/>
      </c>
      <c r="N69" s="16">
        <f>IFERROR(EXP(GAMMALN(5+'Read me'!$B$6)-GAMMALN('Read me'!$B$6)-GAMMALN(5+1)+'Read me'!$B$6*LN('Read me'!$B$6/('Read me'!$B$6+L69))+5*LN(L69/('Read me'!$B$6+L69))),"")</f>
        <v/>
      </c>
      <c r="O69" s="17">
        <f>IFERROR((1-N69)/M69,"")</f>
        <v/>
      </c>
      <c r="P69" s="18" t="n"/>
      <c r="Q69" s="19">
        <f>IF(P69="","",P69*M69+N69-1)</f>
        <v/>
      </c>
      <c r="R69" s="20">
        <f>IF(Q69="","awaiting price",IF(Q69&gt;='Read me'!$B$7,"BET",IF(Q69&gt;=0,"thin","no bet")))</f>
        <v/>
      </c>
    </row>
    <row r="70">
      <c r="A70" s="11" t="n">
        <v>46298</v>
      </c>
      <c r="B70" s="12" t="inlineStr">
        <is>
          <t>England League Two</t>
        </is>
      </c>
      <c r="C70" s="12" t="inlineStr">
        <is>
          <t>Rochdale v Swindon Town</t>
        </is>
      </c>
      <c r="D70" s="12" t="inlineStr">
        <is>
          <t>Rochdale</t>
        </is>
      </c>
      <c r="E70" s="12" t="inlineStr">
        <is>
          <t>Home</t>
        </is>
      </c>
      <c r="F70" s="12" t="inlineStr">
        <is>
          <t>Team under</t>
        </is>
      </c>
      <c r="G70" s="12" t="inlineStr">
        <is>
          <t>under 6 team corners</t>
        </is>
      </c>
      <c r="H70" s="12" t="n">
        <v>6</v>
      </c>
      <c r="I70" s="12" t="n">
        <v>6</v>
      </c>
      <c r="J70" s="12" t="inlineStr">
        <is>
          <t>4/4</t>
        </is>
      </c>
      <c r="K70" s="13" t="n">
        <v>3.2</v>
      </c>
      <c r="L70" s="14" t="n">
        <v>6</v>
      </c>
      <c r="M70" s="15">
        <f>IFERROR((EXP(GAMMALN(0+'Read me'!$B$6)-GAMMALN('Read me'!$B$6)-GAMMALN(0+1)+'Read me'!$B$6*LN('Read me'!$B$6/('Read me'!$B$6+L70))+0*LN(L70/('Read me'!$B$6+L70)))+EXP(GAMMALN(1+'Read me'!$B$6)-GAMMALN('Read me'!$B$6)-GAMMALN(1+1)+'Read me'!$B$6*LN('Read me'!$B$6/('Read me'!$B$6+L70))+1*LN(L70/('Read me'!$B$6+L70)))+EXP(GAMMALN(2+'Read me'!$B$6)-GAMMALN('Read me'!$B$6)-GAMMALN(2+1)+'Read me'!$B$6*LN('Read me'!$B$6/('Read me'!$B$6+L70))+2*LN(L70/('Read me'!$B$6+L70)))+EXP(GAMMALN(3+'Read me'!$B$6)-GAMMALN('Read me'!$B$6)-GAMMALN(3+1)+'Read me'!$B$6*LN('Read me'!$B$6/('Read me'!$B$6+L70))+3*LN(L70/('Read me'!$B$6+L70)))+EXP(GAMMALN(4+'Read me'!$B$6)-GAMMALN('Read me'!$B$6)-GAMMALN(4+1)+'Read me'!$B$6*LN('Read me'!$B$6/('Read me'!$B$6+L70))+4*LN(L70/('Read me'!$B$6+L70)))+EXP(GAMMALN(5+'Read me'!$B$6)-GAMMALN('Read me'!$B$6)-GAMMALN(5+1)+'Read me'!$B$6*LN('Read me'!$B$6/('Read me'!$B$6+L70))+5*LN(L70/('Read me'!$B$6+L70)))),"")</f>
        <v/>
      </c>
      <c r="N70" s="16">
        <f>IFERROR(EXP(GAMMALN(6+'Read me'!$B$6)-GAMMALN('Read me'!$B$6)-GAMMALN(6+1)+'Read me'!$B$6*LN('Read me'!$B$6/('Read me'!$B$6+L70))+6*LN(L70/('Read me'!$B$6+L70))),"")</f>
        <v/>
      </c>
      <c r="O70" s="17">
        <f>IFERROR((1-N70)/M70,"")</f>
        <v/>
      </c>
      <c r="P70" s="18" t="n"/>
      <c r="Q70" s="19">
        <f>IF(P70="","",P70*M70+N70-1)</f>
        <v/>
      </c>
      <c r="R70" s="20">
        <f>IF(Q70="","awaiting price",IF(Q70&gt;='Read me'!$B$7,"BET",IF(Q70&gt;=0,"thin","no bet")))</f>
        <v/>
      </c>
    </row>
    <row r="71">
      <c r="A71" s="11" t="n">
        <v>46298</v>
      </c>
      <c r="B71" s="12" t="inlineStr">
        <is>
          <t>England League Two</t>
        </is>
      </c>
      <c r="C71" s="12" t="inlineStr">
        <is>
          <t>Accrington ST v Cheltenham</t>
        </is>
      </c>
      <c r="D71" s="12" t="inlineStr">
        <is>
          <t>Accrington ST</t>
        </is>
      </c>
      <c r="E71" s="12" t="inlineStr">
        <is>
          <t>Home</t>
        </is>
      </c>
      <c r="F71" s="12" t="inlineStr">
        <is>
          <t>Team under</t>
        </is>
      </c>
      <c r="G71" s="12" t="inlineStr">
        <is>
          <t>under 7 team corners</t>
        </is>
      </c>
      <c r="H71" s="12" t="n">
        <v>6</v>
      </c>
      <c r="I71" s="12" t="n">
        <v>11</v>
      </c>
      <c r="J71" s="12" t="inlineStr">
        <is>
          <t>4/4</t>
        </is>
      </c>
      <c r="K71" s="13" t="n">
        <v>3.6</v>
      </c>
      <c r="L71" s="14" t="n">
        <v>4.07</v>
      </c>
      <c r="M71" s="15">
        <f>IFERROR((EXP(GAMMALN(0+'Read me'!$B$6)-GAMMALN('Read me'!$B$6)-GAMMALN(0+1)+'Read me'!$B$6*LN('Read me'!$B$6/('Read me'!$B$6+L71))+0*LN(L71/('Read me'!$B$6+L71)))+EXP(GAMMALN(1+'Read me'!$B$6)-GAMMALN('Read me'!$B$6)-GAMMALN(1+1)+'Read me'!$B$6*LN('Read me'!$B$6/('Read me'!$B$6+L71))+1*LN(L71/('Read me'!$B$6+L71)))+EXP(GAMMALN(2+'Read me'!$B$6)-GAMMALN('Read me'!$B$6)-GAMMALN(2+1)+'Read me'!$B$6*LN('Read me'!$B$6/('Read me'!$B$6+L71))+2*LN(L71/('Read me'!$B$6+L71)))+EXP(GAMMALN(3+'Read me'!$B$6)-GAMMALN('Read me'!$B$6)-GAMMALN(3+1)+'Read me'!$B$6*LN('Read me'!$B$6/('Read me'!$B$6+L71))+3*LN(L71/('Read me'!$B$6+L71)))+EXP(GAMMALN(4+'Read me'!$B$6)-GAMMALN('Read me'!$B$6)-GAMMALN(4+1)+'Read me'!$B$6*LN('Read me'!$B$6/('Read me'!$B$6+L71))+4*LN(L71/('Read me'!$B$6+L71)))+EXP(GAMMALN(5+'Read me'!$B$6)-GAMMALN('Read me'!$B$6)-GAMMALN(5+1)+'Read me'!$B$6*LN('Read me'!$B$6/('Read me'!$B$6+L71))+5*LN(L71/('Read me'!$B$6+L71)))+EXP(GAMMALN(6+'Read me'!$B$6)-GAMMALN('Read me'!$B$6)-GAMMALN(6+1)+'Read me'!$B$6*LN('Read me'!$B$6/('Read me'!$B$6+L71))+6*LN(L71/('Read me'!$B$6+L71)))),"")</f>
        <v/>
      </c>
      <c r="N71" s="16">
        <f>IFERROR(EXP(GAMMALN(7+'Read me'!$B$6)-GAMMALN('Read me'!$B$6)-GAMMALN(7+1)+'Read me'!$B$6*LN('Read me'!$B$6/('Read me'!$B$6+L71))+7*LN(L71/('Read me'!$B$6+L71))),"")</f>
        <v/>
      </c>
      <c r="O71" s="17">
        <f>IFERROR((1-N71)/M71,"")</f>
        <v/>
      </c>
      <c r="P71" s="18" t="n"/>
      <c r="Q71" s="19">
        <f>IF(P71="","",P71*M71+N71-1)</f>
        <v/>
      </c>
      <c r="R71" s="20">
        <f>IF(Q71="","awaiting price",IF(Q71&gt;='Read me'!$B$7,"BET",IF(Q71&gt;=0,"thin","no bet")))</f>
        <v/>
      </c>
    </row>
    <row r="72">
      <c r="A72" s="11" t="n">
        <v>46298</v>
      </c>
      <c r="B72" s="12" t="inlineStr">
        <is>
          <t>Brazil Série B</t>
        </is>
      </c>
      <c r="C72" s="12" t="inlineStr">
        <is>
          <t>Botafogo SP v Vila Nova</t>
        </is>
      </c>
      <c r="D72" s="12" t="inlineStr">
        <is>
          <t>Botafogo SP</t>
        </is>
      </c>
      <c r="E72" s="12" t="inlineStr">
        <is>
          <t>Home</t>
        </is>
      </c>
      <c r="F72" s="12" t="inlineStr">
        <is>
          <t>Team under</t>
        </is>
      </c>
      <c r="G72" s="12" t="inlineStr">
        <is>
          <t>under 8 team corners</t>
        </is>
      </c>
      <c r="H72" s="12" t="n">
        <v>6</v>
      </c>
      <c r="I72" s="12" t="n">
        <v>6</v>
      </c>
      <c r="J72" s="12" t="inlineStr">
        <is>
          <t>4/4</t>
        </is>
      </c>
      <c r="K72" s="13" t="n">
        <v>5.2</v>
      </c>
      <c r="L72" s="14" t="n">
        <v>5.9</v>
      </c>
      <c r="M72" s="15">
        <f>IFERROR((EXP(GAMMALN(0+'Read me'!$B$6)-GAMMALN('Read me'!$B$6)-GAMMALN(0+1)+'Read me'!$B$6*LN('Read me'!$B$6/('Read me'!$B$6+L72))+0*LN(L72/('Read me'!$B$6+L72)))+EXP(GAMMALN(1+'Read me'!$B$6)-GAMMALN('Read me'!$B$6)-GAMMALN(1+1)+'Read me'!$B$6*LN('Read me'!$B$6/('Read me'!$B$6+L72))+1*LN(L72/('Read me'!$B$6+L72)))+EXP(GAMMALN(2+'Read me'!$B$6)-GAMMALN('Read me'!$B$6)-GAMMALN(2+1)+'Read me'!$B$6*LN('Read me'!$B$6/('Read me'!$B$6+L72))+2*LN(L72/('Read me'!$B$6+L72)))+EXP(GAMMALN(3+'Read me'!$B$6)-GAMMALN('Read me'!$B$6)-GAMMALN(3+1)+'Read me'!$B$6*LN('Read me'!$B$6/('Read me'!$B$6+L72))+3*LN(L72/('Read me'!$B$6+L72)))+EXP(GAMMALN(4+'Read me'!$B$6)-GAMMALN('Read me'!$B$6)-GAMMALN(4+1)+'Read me'!$B$6*LN('Read me'!$B$6/('Read me'!$B$6+L72))+4*LN(L72/('Read me'!$B$6+L72)))+EXP(GAMMALN(5+'Read me'!$B$6)-GAMMALN('Read me'!$B$6)-GAMMALN(5+1)+'Read me'!$B$6*LN('Read me'!$B$6/('Read me'!$B$6+L72))+5*LN(L72/('Read me'!$B$6+L72)))+EXP(GAMMALN(6+'Read me'!$B$6)-GAMMALN('Read me'!$B$6)-GAMMALN(6+1)+'Read me'!$B$6*LN('Read me'!$B$6/('Read me'!$B$6+L72))+6*LN(L72/('Read me'!$B$6+L72)))+EXP(GAMMALN(7+'Read me'!$B$6)-GAMMALN('Read me'!$B$6)-GAMMALN(7+1)+'Read me'!$B$6*LN('Read me'!$B$6/('Read me'!$B$6+L72))+7*LN(L72/('Read me'!$B$6+L72)))),"")</f>
        <v/>
      </c>
      <c r="N72" s="16">
        <f>IFERROR(EXP(GAMMALN(8+'Read me'!$B$6)-GAMMALN('Read me'!$B$6)-GAMMALN(8+1)+'Read me'!$B$6*LN('Read me'!$B$6/('Read me'!$B$6+L72))+8*LN(L72/('Read me'!$B$6+L72))),"")</f>
        <v/>
      </c>
      <c r="O72" s="17">
        <f>IFERROR((1-N72)/M72,"")</f>
        <v/>
      </c>
      <c r="P72" s="18" t="n"/>
      <c r="Q72" s="19">
        <f>IF(P72="","",P72*M72+N72-1)</f>
        <v/>
      </c>
      <c r="R72" s="20">
        <f>IF(Q72="","awaiting price",IF(Q72&gt;='Read me'!$B$7,"BET",IF(Q72&gt;=0,"thin","no bet")))</f>
        <v/>
      </c>
    </row>
    <row r="73">
      <c r="A73" s="11" t="n">
        <v>46298</v>
      </c>
      <c r="B73" s="12" t="inlineStr">
        <is>
          <t>England League One</t>
        </is>
      </c>
      <c r="C73" s="12" t="inlineStr">
        <is>
          <t>Wigan v Mansfield Town</t>
        </is>
      </c>
      <c r="D73" s="12" t="inlineStr">
        <is>
          <t>Mansfield Town</t>
        </is>
      </c>
      <c r="E73" s="12" t="inlineStr">
        <is>
          <t>Away</t>
        </is>
      </c>
      <c r="F73" s="12" t="inlineStr">
        <is>
          <t>Match under</t>
        </is>
      </c>
      <c r="G73" s="12" t="inlineStr">
        <is>
          <t>under 11 match corners</t>
        </is>
      </c>
      <c r="H73" s="12" t="n">
        <v>6</v>
      </c>
      <c r="I73" s="12" t="n">
        <v>6</v>
      </c>
      <c r="J73" s="12" t="inlineStr">
        <is>
          <t>4/4</t>
        </is>
      </c>
      <c r="K73" s="13" t="n">
        <v>8.4</v>
      </c>
      <c r="L73" s="14" t="n">
        <v>9.31</v>
      </c>
      <c r="M73" s="15">
        <f>IFERROR(POISSON(11-1,L73,TRUE),"")</f>
        <v/>
      </c>
      <c r="N73" s="16">
        <f>IFERROR(POISSON(11,L73,FALSE),"")</f>
        <v/>
      </c>
      <c r="O73" s="17">
        <f>IFERROR((1-N73)/M73,"")</f>
        <v/>
      </c>
      <c r="P73" s="18" t="n"/>
      <c r="Q73" s="19">
        <f>IF(P73="","",P73*M73+N73-1)</f>
        <v/>
      </c>
      <c r="R73" s="20">
        <f>IF(Q73="","awaiting price",IF(Q73&gt;='Read me'!$B$7,"BET",IF(Q73&gt;=0,"thin","no bet")))</f>
        <v/>
      </c>
    </row>
    <row r="74">
      <c r="A74" s="11" t="n">
        <v>46298</v>
      </c>
      <c r="B74" s="12" t="inlineStr">
        <is>
          <t>England League Two</t>
        </is>
      </c>
      <c r="C74" s="12" t="inlineStr">
        <is>
          <t>Exeter City v Rotherham</t>
        </is>
      </c>
      <c r="D74" s="12" t="inlineStr">
        <is>
          <t>Exeter City</t>
        </is>
      </c>
      <c r="E74" s="12" t="inlineStr">
        <is>
          <t>Home</t>
        </is>
      </c>
      <c r="F74" s="12" t="inlineStr">
        <is>
          <t>Match under</t>
        </is>
      </c>
      <c r="G74" s="12" t="inlineStr">
        <is>
          <t>under 12 match corners</t>
        </is>
      </c>
      <c r="H74" s="12" t="n">
        <v>6</v>
      </c>
      <c r="I74" s="12" t="n">
        <v>6</v>
      </c>
      <c r="J74" s="12" t="inlineStr">
        <is>
          <t>4/4</t>
        </is>
      </c>
      <c r="K74" s="13" t="n">
        <v>8.4</v>
      </c>
      <c r="L74" s="14" t="n">
        <v>9.19</v>
      </c>
      <c r="M74" s="15">
        <f>IFERROR(POISSON(12-1,L74,TRUE),"")</f>
        <v/>
      </c>
      <c r="N74" s="16">
        <f>IFERROR(POISSON(12,L74,FALSE),"")</f>
        <v/>
      </c>
      <c r="O74" s="17">
        <f>IFERROR((1-N74)/M74,"")</f>
        <v/>
      </c>
      <c r="P74" s="18" t="n"/>
      <c r="Q74" s="19">
        <f>IF(P74="","",P74*M74+N74-1)</f>
        <v/>
      </c>
      <c r="R74" s="20">
        <f>IF(Q74="","awaiting price",IF(Q74&gt;='Read me'!$B$7,"BET",IF(Q74&gt;=0,"thin","no bet")))</f>
        <v/>
      </c>
    </row>
    <row r="75">
      <c r="A75" s="11" t="n">
        <v>46298</v>
      </c>
      <c r="B75" s="12" t="inlineStr">
        <is>
          <t>England League Two</t>
        </is>
      </c>
      <c r="C75" s="12" t="inlineStr">
        <is>
          <t>Rochdale v Swindon Town</t>
        </is>
      </c>
      <c r="D75" s="12" t="inlineStr">
        <is>
          <t>Rochdale</t>
        </is>
      </c>
      <c r="E75" s="12" t="inlineStr">
        <is>
          <t>Home</t>
        </is>
      </c>
      <c r="F75" s="12" t="inlineStr">
        <is>
          <t>Match under</t>
        </is>
      </c>
      <c r="G75" s="12" t="inlineStr">
        <is>
          <t>under 12 match corners</t>
        </is>
      </c>
      <c r="H75" s="12" t="n">
        <v>6</v>
      </c>
      <c r="I75" s="12" t="n">
        <v>6</v>
      </c>
      <c r="J75" s="12" t="inlineStr">
        <is>
          <t>4/4</t>
        </is>
      </c>
      <c r="K75" s="13" t="n">
        <v>8.6</v>
      </c>
      <c r="L75" s="14" t="n">
        <v>9.880000000000001</v>
      </c>
      <c r="M75" s="15">
        <f>IFERROR(POISSON(12-1,L75,TRUE),"")</f>
        <v/>
      </c>
      <c r="N75" s="16">
        <f>IFERROR(POISSON(12,L75,FALSE),"")</f>
        <v/>
      </c>
      <c r="O75" s="17">
        <f>IFERROR((1-N75)/M75,"")</f>
        <v/>
      </c>
      <c r="P75" s="18" t="n"/>
      <c r="Q75" s="19">
        <f>IF(P75="","",P75*M75+N75-1)</f>
        <v/>
      </c>
      <c r="R75" s="20">
        <f>IF(Q75="","awaiting price",IF(Q75&gt;='Read me'!$B$7,"BET",IF(Q75&gt;=0,"thin","no bet")))</f>
        <v/>
      </c>
    </row>
    <row r="76">
      <c r="A76" s="11" t="n">
        <v>46298</v>
      </c>
      <c r="B76" s="12" t="inlineStr">
        <is>
          <t>Argentina Liga Profesional</t>
        </is>
      </c>
      <c r="C76" s="12" t="inlineStr">
        <is>
          <t>Newells Old Boys v Lanus</t>
        </is>
      </c>
      <c r="D76" s="12" t="inlineStr">
        <is>
          <t>Newells Old Boys</t>
        </is>
      </c>
      <c r="E76" s="12" t="inlineStr">
        <is>
          <t>Home</t>
        </is>
      </c>
      <c r="F76" s="12" t="inlineStr">
        <is>
          <t>Match under</t>
        </is>
      </c>
      <c r="G76" s="12" t="inlineStr">
        <is>
          <t>under 12 match corners</t>
        </is>
      </c>
      <c r="H76" s="12" t="n">
        <v>6</v>
      </c>
      <c r="I76" s="12" t="n">
        <v>6</v>
      </c>
      <c r="J76" s="12" t="inlineStr">
        <is>
          <t>4/4</t>
        </is>
      </c>
      <c r="K76" s="13" t="n">
        <v>8.800000000000001</v>
      </c>
      <c r="L76" s="14" t="n">
        <v>8.68</v>
      </c>
      <c r="M76" s="15">
        <f>IFERROR(POISSON(12-1,L76,TRUE),"")</f>
        <v/>
      </c>
      <c r="N76" s="16">
        <f>IFERROR(POISSON(12,L76,FALSE),"")</f>
        <v/>
      </c>
      <c r="O76" s="17">
        <f>IFERROR((1-N76)/M76,"")</f>
        <v/>
      </c>
      <c r="P76" s="18" t="n"/>
      <c r="Q76" s="19">
        <f>IF(P76="","",P76*M76+N76-1)</f>
        <v/>
      </c>
      <c r="R76" s="20">
        <f>IF(Q76="","awaiting price",IF(Q76&gt;='Read me'!$B$7,"BET",IF(Q76&gt;=0,"thin","no bet")))</f>
        <v/>
      </c>
    </row>
    <row r="77">
      <c r="A77" s="11" t="n">
        <v>46299</v>
      </c>
      <c r="B77" s="12" t="inlineStr">
        <is>
          <t>Argentina Liga Profesional</t>
        </is>
      </c>
      <c r="C77" s="12" t="inlineStr">
        <is>
          <t>Talleres Cordoba v Belgrano Cordoba</t>
        </is>
      </c>
      <c r="D77" s="12" t="inlineStr">
        <is>
          <t>Belgrano Cordoba</t>
        </is>
      </c>
      <c r="E77" s="12" t="inlineStr">
        <is>
          <t>Away</t>
        </is>
      </c>
      <c r="F77" s="12" t="inlineStr">
        <is>
          <t>Team over</t>
        </is>
      </c>
      <c r="G77" s="12" t="inlineStr">
        <is>
          <t>3+ team corners</t>
        </is>
      </c>
      <c r="H77" s="12" t="n">
        <v>6</v>
      </c>
      <c r="I77" s="12" t="n">
        <v>8</v>
      </c>
      <c r="J77" s="12" t="inlineStr">
        <is>
          <t>5/5</t>
        </is>
      </c>
      <c r="K77" s="13" t="n">
        <v>6</v>
      </c>
      <c r="L77" s="14" t="n">
        <v>4.36</v>
      </c>
      <c r="M77" s="15">
        <f>IFERROR(1-(EXP(GAMMALN(0+'Read me'!$B$6)-GAMMALN('Read me'!$B$6)-GAMMALN(0+1)+'Read me'!$B$6*LN('Read me'!$B$6/('Read me'!$B$6+L77))+0*LN(L77/('Read me'!$B$6+L77)))+EXP(GAMMALN(1+'Read me'!$B$6)-GAMMALN('Read me'!$B$6)-GAMMALN(1+1)+'Read me'!$B$6*LN('Read me'!$B$6/('Read me'!$B$6+L77))+1*LN(L77/('Read me'!$B$6+L77)))+EXP(GAMMALN(2+'Read me'!$B$6)-GAMMALN('Read me'!$B$6)-GAMMALN(2+1)+'Read me'!$B$6*LN('Read me'!$B$6/('Read me'!$B$6+L77))+2*LN(L77/('Read me'!$B$6+L77)))),"")</f>
        <v/>
      </c>
      <c r="N77" s="16" t="n">
        <v>0</v>
      </c>
      <c r="O77" s="17">
        <f>IFERROR(1/M77,"")</f>
        <v/>
      </c>
      <c r="P77" s="18" t="n"/>
      <c r="Q77" s="19">
        <f>IF(P77="","",P77*M77-1)</f>
        <v/>
      </c>
      <c r="R77" s="20">
        <f>IF(Q77="","awaiting price",IF(Q77&gt;='Read me'!$B$7,"BET",IF(Q77&gt;=0,"thin","no bet")))</f>
        <v/>
      </c>
    </row>
    <row r="78">
      <c r="A78" s="11" t="n">
        <v>46299</v>
      </c>
      <c r="B78" s="12" t="inlineStr">
        <is>
          <t>Netherlands Eerste Divisie</t>
        </is>
      </c>
      <c r="C78" s="12" t="inlineStr">
        <is>
          <t>VVV Venlo v Roda</t>
        </is>
      </c>
      <c r="D78" s="12" t="inlineStr">
        <is>
          <t>VVV Venlo</t>
        </is>
      </c>
      <c r="E78" s="12" t="inlineStr">
        <is>
          <t>Home</t>
        </is>
      </c>
      <c r="F78" s="12" t="inlineStr">
        <is>
          <t>Team over</t>
        </is>
      </c>
      <c r="G78" s="12" t="inlineStr">
        <is>
          <t>3+ team corners</t>
        </is>
      </c>
      <c r="H78" s="12" t="n">
        <v>6</v>
      </c>
      <c r="I78" s="12" t="n">
        <v>6</v>
      </c>
      <c r="J78" s="12" t="inlineStr">
        <is>
          <t>5/5</t>
        </is>
      </c>
      <c r="K78" s="13" t="n">
        <v>5.8</v>
      </c>
      <c r="L78" s="14" t="n">
        <v>5.48</v>
      </c>
      <c r="M78" s="15">
        <f>IFERROR(1-(EXP(GAMMALN(0+'Read me'!$B$6)-GAMMALN('Read me'!$B$6)-GAMMALN(0+1)+'Read me'!$B$6*LN('Read me'!$B$6/('Read me'!$B$6+L78))+0*LN(L78/('Read me'!$B$6+L78)))+EXP(GAMMALN(1+'Read me'!$B$6)-GAMMALN('Read me'!$B$6)-GAMMALN(1+1)+'Read me'!$B$6*LN('Read me'!$B$6/('Read me'!$B$6+L78))+1*LN(L78/('Read me'!$B$6+L78)))+EXP(GAMMALN(2+'Read me'!$B$6)-GAMMALN('Read me'!$B$6)-GAMMALN(2+1)+'Read me'!$B$6*LN('Read me'!$B$6/('Read me'!$B$6+L78))+2*LN(L78/('Read me'!$B$6+L78)))),"")</f>
        <v/>
      </c>
      <c r="N78" s="16" t="n">
        <v>0</v>
      </c>
      <c r="O78" s="17">
        <f>IFERROR(1/M78,"")</f>
        <v/>
      </c>
      <c r="P78" s="18" t="n"/>
      <c r="Q78" s="19">
        <f>IF(P78="","",P78*M78-1)</f>
        <v/>
      </c>
      <c r="R78" s="20">
        <f>IF(Q78="","awaiting price",IF(Q78&gt;='Read me'!$B$7,"BET",IF(Q78&gt;=0,"thin","no bet")))</f>
        <v/>
      </c>
    </row>
    <row r="79">
      <c r="A79" s="11" t="n">
        <v>46299</v>
      </c>
      <c r="B79" s="12" t="inlineStr">
        <is>
          <t>Argentina Liga Profesional</t>
        </is>
      </c>
      <c r="C79" s="12" t="inlineStr">
        <is>
          <t>Sarmiento Junin v River Plate</t>
        </is>
      </c>
      <c r="D79" s="12" t="inlineStr">
        <is>
          <t>River Plate</t>
        </is>
      </c>
      <c r="E79" s="12" t="inlineStr">
        <is>
          <t>Away</t>
        </is>
      </c>
      <c r="F79" s="12" t="inlineStr">
        <is>
          <t>Team under</t>
        </is>
      </c>
      <c r="G79" s="12" t="inlineStr">
        <is>
          <t>under 5 team corners</t>
        </is>
      </c>
      <c r="H79" s="12" t="n">
        <v>6</v>
      </c>
      <c r="I79" s="12" t="n">
        <v>6</v>
      </c>
      <c r="J79" s="12" t="inlineStr">
        <is>
          <t>4/4</t>
        </is>
      </c>
      <c r="K79" s="13" t="n">
        <v>3.2</v>
      </c>
      <c r="L79" s="14" t="n">
        <v>5.17</v>
      </c>
      <c r="M79" s="15">
        <f>IFERROR((EXP(GAMMALN(0+'Read me'!$B$6)-GAMMALN('Read me'!$B$6)-GAMMALN(0+1)+'Read me'!$B$6*LN('Read me'!$B$6/('Read me'!$B$6+L79))+0*LN(L79/('Read me'!$B$6+L79)))+EXP(GAMMALN(1+'Read me'!$B$6)-GAMMALN('Read me'!$B$6)-GAMMALN(1+1)+'Read me'!$B$6*LN('Read me'!$B$6/('Read me'!$B$6+L79))+1*LN(L79/('Read me'!$B$6+L79)))+EXP(GAMMALN(2+'Read me'!$B$6)-GAMMALN('Read me'!$B$6)-GAMMALN(2+1)+'Read me'!$B$6*LN('Read me'!$B$6/('Read me'!$B$6+L79))+2*LN(L79/('Read me'!$B$6+L79)))+EXP(GAMMALN(3+'Read me'!$B$6)-GAMMALN('Read me'!$B$6)-GAMMALN(3+1)+'Read me'!$B$6*LN('Read me'!$B$6/('Read me'!$B$6+L79))+3*LN(L79/('Read me'!$B$6+L79)))+EXP(GAMMALN(4+'Read me'!$B$6)-GAMMALN('Read me'!$B$6)-GAMMALN(4+1)+'Read me'!$B$6*LN('Read me'!$B$6/('Read me'!$B$6+L79))+4*LN(L79/('Read me'!$B$6+L79)))),"")</f>
        <v/>
      </c>
      <c r="N79" s="16">
        <f>IFERROR(EXP(GAMMALN(5+'Read me'!$B$6)-GAMMALN('Read me'!$B$6)-GAMMALN(5+1)+'Read me'!$B$6*LN('Read me'!$B$6/('Read me'!$B$6+L79))+5*LN(L79/('Read me'!$B$6+L79))),"")</f>
        <v/>
      </c>
      <c r="O79" s="17">
        <f>IFERROR((1-N79)/M79,"")</f>
        <v/>
      </c>
      <c r="P79" s="18" t="n"/>
      <c r="Q79" s="19">
        <f>IF(P79="","",P79*M79+N79-1)</f>
        <v/>
      </c>
      <c r="R79" s="20">
        <f>IF(Q79="","awaiting price",IF(Q79&gt;='Read me'!$B$7,"BET",IF(Q79&gt;=0,"thin","no bet")))</f>
        <v/>
      </c>
    </row>
    <row r="80">
      <c r="A80" s="11" t="n">
        <v>46299</v>
      </c>
      <c r="B80" s="12" t="inlineStr">
        <is>
          <t>Argentina Liga Profesional</t>
        </is>
      </c>
      <c r="C80" s="12" t="inlineStr">
        <is>
          <t>Sarmiento Junin v River Plate</t>
        </is>
      </c>
      <c r="D80" s="12" t="inlineStr">
        <is>
          <t>River Plate</t>
        </is>
      </c>
      <c r="E80" s="12" t="inlineStr">
        <is>
          <t>Away</t>
        </is>
      </c>
      <c r="F80" s="12" t="inlineStr">
        <is>
          <t>Match under</t>
        </is>
      </c>
      <c r="G80" s="12" t="inlineStr">
        <is>
          <t>under 8 match corners</t>
        </is>
      </c>
      <c r="H80" s="12" t="n">
        <v>6</v>
      </c>
      <c r="I80" s="12" t="n">
        <v>6</v>
      </c>
      <c r="J80" s="12" t="inlineStr">
        <is>
          <t>4/4</t>
        </is>
      </c>
      <c r="K80" s="13" t="n">
        <v>5.2</v>
      </c>
      <c r="L80" s="14" t="n">
        <v>9.35</v>
      </c>
      <c r="M80" s="15">
        <f>IFERROR(POISSON(8-1,L80,TRUE),"")</f>
        <v/>
      </c>
      <c r="N80" s="16">
        <f>IFERROR(POISSON(8,L80,FALSE),"")</f>
        <v/>
      </c>
      <c r="O80" s="17">
        <f>IFERROR((1-N80)/M80,"")</f>
        <v/>
      </c>
      <c r="P80" s="18" t="n"/>
      <c r="Q80" s="19">
        <f>IF(P80="","",P80*M80+N80-1)</f>
        <v/>
      </c>
      <c r="R80" s="20">
        <f>IF(Q80="","awaiting price",IF(Q80&gt;='Read me'!$B$7,"BET",IF(Q80&gt;=0,"thin","no bet")))</f>
        <v/>
      </c>
    </row>
    <row r="81">
      <c r="A81" s="11" t="n">
        <v>46302</v>
      </c>
      <c r="B81" s="12" t="inlineStr">
        <is>
          <t>Brazil Série A</t>
        </is>
      </c>
      <c r="C81" s="12" t="inlineStr">
        <is>
          <t>Vitoria v Chapecoense-sc</t>
        </is>
      </c>
      <c r="D81" s="12" t="inlineStr">
        <is>
          <t>Vitoria</t>
        </is>
      </c>
      <c r="E81" s="12" t="inlineStr">
        <is>
          <t>Home</t>
        </is>
      </c>
      <c r="F81" s="12" t="inlineStr">
        <is>
          <t>Team over</t>
        </is>
      </c>
      <c r="G81" s="12" t="inlineStr">
        <is>
          <t>5+ team corners</t>
        </is>
      </c>
      <c r="H81" s="12" t="n">
        <v>6</v>
      </c>
      <c r="I81" s="12" t="n">
        <v>6</v>
      </c>
      <c r="J81" s="12" t="inlineStr">
        <is>
          <t>5/5</t>
        </is>
      </c>
      <c r="K81" s="13" t="n">
        <v>6.2</v>
      </c>
      <c r="L81" s="14" t="n">
        <v>6.23</v>
      </c>
      <c r="M81" s="15">
        <f>IFERROR(1-(EXP(GAMMALN(0+'Read me'!$B$6)-GAMMALN('Read me'!$B$6)-GAMMALN(0+1)+'Read me'!$B$6*LN('Read me'!$B$6/('Read me'!$B$6+L81))+0*LN(L81/('Read me'!$B$6+L81)))+EXP(GAMMALN(1+'Read me'!$B$6)-GAMMALN('Read me'!$B$6)-GAMMALN(1+1)+'Read me'!$B$6*LN('Read me'!$B$6/('Read me'!$B$6+L81))+1*LN(L81/('Read me'!$B$6+L81)))+EXP(GAMMALN(2+'Read me'!$B$6)-GAMMALN('Read me'!$B$6)-GAMMALN(2+1)+'Read me'!$B$6*LN('Read me'!$B$6/('Read me'!$B$6+L81))+2*LN(L81/('Read me'!$B$6+L81)))+EXP(GAMMALN(3+'Read me'!$B$6)-GAMMALN('Read me'!$B$6)-GAMMALN(3+1)+'Read me'!$B$6*LN('Read me'!$B$6/('Read me'!$B$6+L81))+3*LN(L81/('Read me'!$B$6+L81)))+EXP(GAMMALN(4+'Read me'!$B$6)-GAMMALN('Read me'!$B$6)-GAMMALN(4+1)+'Read me'!$B$6*LN('Read me'!$B$6/('Read me'!$B$6+L81))+4*LN(L81/('Read me'!$B$6+L81)))),"")</f>
        <v/>
      </c>
      <c r="N81" s="16" t="n">
        <v>0</v>
      </c>
      <c r="O81" s="17">
        <f>IFERROR(1/M81,"")</f>
        <v/>
      </c>
      <c r="P81" s="18" t="n"/>
      <c r="Q81" s="19">
        <f>IF(P81="","",P81*M81-1)</f>
        <v/>
      </c>
      <c r="R81" s="20">
        <f>IF(Q81="","awaiting price",IF(Q81&gt;='Read me'!$B$7,"BET",IF(Q81&gt;=0,"thin","no bet")))</f>
        <v/>
      </c>
    </row>
    <row r="82">
      <c r="A82" s="11" t="n">
        <v>46296</v>
      </c>
      <c r="B82" s="12" t="inlineStr">
        <is>
          <t>Brazil Série B</t>
        </is>
      </c>
      <c r="C82" s="12" t="inlineStr">
        <is>
          <t>Athletic Club v Sport Recife</t>
        </is>
      </c>
      <c r="D82" s="12" t="inlineStr">
        <is>
          <t>Athletic Club</t>
        </is>
      </c>
      <c r="E82" s="12" t="inlineStr">
        <is>
          <t>Home</t>
        </is>
      </c>
      <c r="F82" s="12" t="inlineStr">
        <is>
          <t>Team under</t>
        </is>
      </c>
      <c r="G82" s="12" t="inlineStr">
        <is>
          <t>under 6 team corners</t>
        </is>
      </c>
      <c r="H82" s="12" t="n">
        <v>5</v>
      </c>
      <c r="I82" s="12" t="n">
        <v>6</v>
      </c>
      <c r="J82" s="12" t="inlineStr">
        <is>
          <t>4/4</t>
        </is>
      </c>
      <c r="K82" s="13" t="n">
        <v>2.8</v>
      </c>
      <c r="L82" s="14" t="n">
        <v>6.16</v>
      </c>
      <c r="M82" s="15">
        <f>IFERROR((EXP(GAMMALN(0+'Read me'!$B$6)-GAMMALN('Read me'!$B$6)-GAMMALN(0+1)+'Read me'!$B$6*LN('Read me'!$B$6/('Read me'!$B$6+L82))+0*LN(L82/('Read me'!$B$6+L82)))+EXP(GAMMALN(1+'Read me'!$B$6)-GAMMALN('Read me'!$B$6)-GAMMALN(1+1)+'Read me'!$B$6*LN('Read me'!$B$6/('Read me'!$B$6+L82))+1*LN(L82/('Read me'!$B$6+L82)))+EXP(GAMMALN(2+'Read me'!$B$6)-GAMMALN('Read me'!$B$6)-GAMMALN(2+1)+'Read me'!$B$6*LN('Read me'!$B$6/('Read me'!$B$6+L82))+2*LN(L82/('Read me'!$B$6+L82)))+EXP(GAMMALN(3+'Read me'!$B$6)-GAMMALN('Read me'!$B$6)-GAMMALN(3+1)+'Read me'!$B$6*LN('Read me'!$B$6/('Read me'!$B$6+L82))+3*LN(L82/('Read me'!$B$6+L82)))+EXP(GAMMALN(4+'Read me'!$B$6)-GAMMALN('Read me'!$B$6)-GAMMALN(4+1)+'Read me'!$B$6*LN('Read me'!$B$6/('Read me'!$B$6+L82))+4*LN(L82/('Read me'!$B$6+L82)))+EXP(GAMMALN(5+'Read me'!$B$6)-GAMMALN('Read me'!$B$6)-GAMMALN(5+1)+'Read me'!$B$6*LN('Read me'!$B$6/('Read me'!$B$6+L82))+5*LN(L82/('Read me'!$B$6+L82)))),"")</f>
        <v/>
      </c>
      <c r="N82" s="16">
        <f>IFERROR(EXP(GAMMALN(6+'Read me'!$B$6)-GAMMALN('Read me'!$B$6)-GAMMALN(6+1)+'Read me'!$B$6*LN('Read me'!$B$6/('Read me'!$B$6+L82))+6*LN(L82/('Read me'!$B$6+L82))),"")</f>
        <v/>
      </c>
      <c r="O82" s="17">
        <f>IFERROR((1-N82)/M82,"")</f>
        <v/>
      </c>
      <c r="P82" s="18" t="n"/>
      <c r="Q82" s="19">
        <f>IF(P82="","",P82*M82+N82-1)</f>
        <v/>
      </c>
      <c r="R82" s="20">
        <f>IF(Q82="","awaiting price",IF(Q82&gt;='Read me'!$B$7,"BET",IF(Q82&gt;=0,"thin","no bet")))</f>
        <v/>
      </c>
    </row>
    <row r="83">
      <c r="A83" s="11" t="n">
        <v>46297</v>
      </c>
      <c r="B83" s="12" t="inlineStr">
        <is>
          <t>Brazil Série B</t>
        </is>
      </c>
      <c r="C83" s="12" t="inlineStr">
        <is>
          <t>Novorizontino v Goias</t>
        </is>
      </c>
      <c r="D83" s="12" t="inlineStr">
        <is>
          <t>Goias</t>
        </is>
      </c>
      <c r="E83" s="12" t="inlineStr">
        <is>
          <t>Away</t>
        </is>
      </c>
      <c r="F83" s="12" t="inlineStr">
        <is>
          <t>Team over</t>
        </is>
      </c>
      <c r="G83" s="12" t="inlineStr">
        <is>
          <t>5+ team corners</t>
        </is>
      </c>
      <c r="H83" s="12" t="n">
        <v>5</v>
      </c>
      <c r="I83" s="12" t="n">
        <v>5</v>
      </c>
      <c r="J83" s="12" t="inlineStr">
        <is>
          <t>5/5</t>
        </is>
      </c>
      <c r="K83" s="13" t="n">
        <v>6.6</v>
      </c>
      <c r="L83" s="14" t="n">
        <v>3.95</v>
      </c>
      <c r="M83" s="15">
        <f>IFERROR(1-(EXP(GAMMALN(0+'Read me'!$B$6)-GAMMALN('Read me'!$B$6)-GAMMALN(0+1)+'Read me'!$B$6*LN('Read me'!$B$6/('Read me'!$B$6+L83))+0*LN(L83/('Read me'!$B$6+L83)))+EXP(GAMMALN(1+'Read me'!$B$6)-GAMMALN('Read me'!$B$6)-GAMMALN(1+1)+'Read me'!$B$6*LN('Read me'!$B$6/('Read me'!$B$6+L83))+1*LN(L83/('Read me'!$B$6+L83)))+EXP(GAMMALN(2+'Read me'!$B$6)-GAMMALN('Read me'!$B$6)-GAMMALN(2+1)+'Read me'!$B$6*LN('Read me'!$B$6/('Read me'!$B$6+L83))+2*LN(L83/('Read me'!$B$6+L83)))+EXP(GAMMALN(3+'Read me'!$B$6)-GAMMALN('Read me'!$B$6)-GAMMALN(3+1)+'Read me'!$B$6*LN('Read me'!$B$6/('Read me'!$B$6+L83))+3*LN(L83/('Read me'!$B$6+L83)))+EXP(GAMMALN(4+'Read me'!$B$6)-GAMMALN('Read me'!$B$6)-GAMMALN(4+1)+'Read me'!$B$6*LN('Read me'!$B$6/('Read me'!$B$6+L83))+4*LN(L83/('Read me'!$B$6+L83)))),"")</f>
        <v/>
      </c>
      <c r="N83" s="16" t="n">
        <v>0</v>
      </c>
      <c r="O83" s="17">
        <f>IFERROR(1/M83,"")</f>
        <v/>
      </c>
      <c r="P83" s="18" t="n"/>
      <c r="Q83" s="19">
        <f>IF(P83="","",P83*M83-1)</f>
        <v/>
      </c>
      <c r="R83" s="20">
        <f>IF(Q83="","awaiting price",IF(Q83&gt;='Read me'!$B$7,"BET",IF(Q83&gt;=0,"thin","no bet")))</f>
        <v/>
      </c>
    </row>
    <row r="84">
      <c r="A84" s="11" t="n">
        <v>46297</v>
      </c>
      <c r="B84" s="12" t="inlineStr">
        <is>
          <t>Brazil Série B</t>
        </is>
      </c>
      <c r="C84" s="12" t="inlineStr">
        <is>
          <t>São Bernardo v CRB</t>
        </is>
      </c>
      <c r="D84" s="12" t="inlineStr">
        <is>
          <t>CRB</t>
        </is>
      </c>
      <c r="E84" s="12" t="inlineStr">
        <is>
          <t>Away</t>
        </is>
      </c>
      <c r="F84" s="12" t="inlineStr">
        <is>
          <t>Team over</t>
        </is>
      </c>
      <c r="G84" s="12" t="inlineStr">
        <is>
          <t>5+ team corners</t>
        </is>
      </c>
      <c r="H84" s="12" t="n">
        <v>5</v>
      </c>
      <c r="I84" s="12" t="n">
        <v>5</v>
      </c>
      <c r="J84" s="12" t="inlineStr">
        <is>
          <t>5/5</t>
        </is>
      </c>
      <c r="K84" s="13" t="n">
        <v>6.2</v>
      </c>
      <c r="L84" s="14" t="n">
        <v>5.83</v>
      </c>
      <c r="M84" s="15">
        <f>IFERROR(1-(EXP(GAMMALN(0+'Read me'!$B$6)-GAMMALN('Read me'!$B$6)-GAMMALN(0+1)+'Read me'!$B$6*LN('Read me'!$B$6/('Read me'!$B$6+L84))+0*LN(L84/('Read me'!$B$6+L84)))+EXP(GAMMALN(1+'Read me'!$B$6)-GAMMALN('Read me'!$B$6)-GAMMALN(1+1)+'Read me'!$B$6*LN('Read me'!$B$6/('Read me'!$B$6+L84))+1*LN(L84/('Read me'!$B$6+L84)))+EXP(GAMMALN(2+'Read me'!$B$6)-GAMMALN('Read me'!$B$6)-GAMMALN(2+1)+'Read me'!$B$6*LN('Read me'!$B$6/('Read me'!$B$6+L84))+2*LN(L84/('Read me'!$B$6+L84)))+EXP(GAMMALN(3+'Read me'!$B$6)-GAMMALN('Read me'!$B$6)-GAMMALN(3+1)+'Read me'!$B$6*LN('Read me'!$B$6/('Read me'!$B$6+L84))+3*LN(L84/('Read me'!$B$6+L84)))+EXP(GAMMALN(4+'Read me'!$B$6)-GAMMALN('Read me'!$B$6)-GAMMALN(4+1)+'Read me'!$B$6*LN('Read me'!$B$6/('Read me'!$B$6+L84))+4*LN(L84/('Read me'!$B$6+L84)))),"")</f>
        <v/>
      </c>
      <c r="N84" s="16" t="n">
        <v>0</v>
      </c>
      <c r="O84" s="17">
        <f>IFERROR(1/M84,"")</f>
        <v/>
      </c>
      <c r="P84" s="18" t="n"/>
      <c r="Q84" s="19">
        <f>IF(P84="","",P84*M84-1)</f>
        <v/>
      </c>
      <c r="R84" s="20">
        <f>IF(Q84="","awaiting price",IF(Q84&gt;='Read me'!$B$7,"BET",IF(Q84&gt;=0,"thin","no bet")))</f>
        <v/>
      </c>
    </row>
    <row r="85">
      <c r="A85" s="11" t="n">
        <v>46297</v>
      </c>
      <c r="B85" s="12" t="inlineStr">
        <is>
          <t>USA MLS</t>
        </is>
      </c>
      <c r="C85" s="12" t="inlineStr">
        <is>
          <t>Seattle Sounders v Sporting Kansas City</t>
        </is>
      </c>
      <c r="D85" s="12" t="inlineStr">
        <is>
          <t>Sporting Kansas City</t>
        </is>
      </c>
      <c r="E85" s="12" t="inlineStr">
        <is>
          <t>Away</t>
        </is>
      </c>
      <c r="F85" s="12" t="inlineStr">
        <is>
          <t>Team under</t>
        </is>
      </c>
      <c r="G85" s="12" t="inlineStr">
        <is>
          <t>under 7 team corners</t>
        </is>
      </c>
      <c r="H85" s="12" t="n">
        <v>5</v>
      </c>
      <c r="I85" s="12" t="n">
        <v>8</v>
      </c>
      <c r="J85" s="12" t="inlineStr">
        <is>
          <t>4/4</t>
        </is>
      </c>
      <c r="K85" s="13" t="n">
        <v>4</v>
      </c>
      <c r="L85" s="14" t="n">
        <v>5.11</v>
      </c>
      <c r="M85" s="15">
        <f>IFERROR((EXP(GAMMALN(0+'Read me'!$B$6)-GAMMALN('Read me'!$B$6)-GAMMALN(0+1)+'Read me'!$B$6*LN('Read me'!$B$6/('Read me'!$B$6+L85))+0*LN(L85/('Read me'!$B$6+L85)))+EXP(GAMMALN(1+'Read me'!$B$6)-GAMMALN('Read me'!$B$6)-GAMMALN(1+1)+'Read me'!$B$6*LN('Read me'!$B$6/('Read me'!$B$6+L85))+1*LN(L85/('Read me'!$B$6+L85)))+EXP(GAMMALN(2+'Read me'!$B$6)-GAMMALN('Read me'!$B$6)-GAMMALN(2+1)+'Read me'!$B$6*LN('Read me'!$B$6/('Read me'!$B$6+L85))+2*LN(L85/('Read me'!$B$6+L85)))+EXP(GAMMALN(3+'Read me'!$B$6)-GAMMALN('Read me'!$B$6)-GAMMALN(3+1)+'Read me'!$B$6*LN('Read me'!$B$6/('Read me'!$B$6+L85))+3*LN(L85/('Read me'!$B$6+L85)))+EXP(GAMMALN(4+'Read me'!$B$6)-GAMMALN('Read me'!$B$6)-GAMMALN(4+1)+'Read me'!$B$6*LN('Read me'!$B$6/('Read me'!$B$6+L85))+4*LN(L85/('Read me'!$B$6+L85)))+EXP(GAMMALN(5+'Read me'!$B$6)-GAMMALN('Read me'!$B$6)-GAMMALN(5+1)+'Read me'!$B$6*LN('Read me'!$B$6/('Read me'!$B$6+L85))+5*LN(L85/('Read me'!$B$6+L85)))+EXP(GAMMALN(6+'Read me'!$B$6)-GAMMALN('Read me'!$B$6)-GAMMALN(6+1)+'Read me'!$B$6*LN('Read me'!$B$6/('Read me'!$B$6+L85))+6*LN(L85/('Read me'!$B$6+L85)))),"")</f>
        <v/>
      </c>
      <c r="N85" s="16">
        <f>IFERROR(EXP(GAMMALN(7+'Read me'!$B$6)-GAMMALN('Read me'!$B$6)-GAMMALN(7+1)+'Read me'!$B$6*LN('Read me'!$B$6/('Read me'!$B$6+L85))+7*LN(L85/('Read me'!$B$6+L85))),"")</f>
        <v/>
      </c>
      <c r="O85" s="17">
        <f>IFERROR((1-N85)/M85,"")</f>
        <v/>
      </c>
      <c r="P85" s="18" t="n"/>
      <c r="Q85" s="19">
        <f>IF(P85="","",P85*M85+N85-1)</f>
        <v/>
      </c>
      <c r="R85" s="20">
        <f>IF(Q85="","awaiting price",IF(Q85&gt;='Read me'!$B$7,"BET",IF(Q85&gt;=0,"thin","no bet")))</f>
        <v/>
      </c>
    </row>
    <row r="86">
      <c r="A86" s="11" t="n">
        <v>46297</v>
      </c>
      <c r="B86" s="12" t="inlineStr">
        <is>
          <t>Argentina Liga Profesional</t>
        </is>
      </c>
      <c r="C86" s="12" t="inlineStr">
        <is>
          <t>Independiente v Instituto Cordoba</t>
        </is>
      </c>
      <c r="D86" s="12" t="inlineStr">
        <is>
          <t>Instituto Cordoba</t>
        </is>
      </c>
      <c r="E86" s="12" t="inlineStr">
        <is>
          <t>Away</t>
        </is>
      </c>
      <c r="F86" s="12" t="inlineStr">
        <is>
          <t>Match under</t>
        </is>
      </c>
      <c r="G86" s="12" t="inlineStr">
        <is>
          <t>under 12 match corners</t>
        </is>
      </c>
      <c r="H86" s="12" t="n">
        <v>5</v>
      </c>
      <c r="I86" s="12" t="n">
        <v>6</v>
      </c>
      <c r="J86" s="12" t="inlineStr">
        <is>
          <t>4/4</t>
        </is>
      </c>
      <c r="K86" s="13" t="n">
        <v>7.2</v>
      </c>
      <c r="L86" s="14" t="n">
        <v>10.27</v>
      </c>
      <c r="M86" s="15">
        <f>IFERROR(POISSON(12-1,L86,TRUE),"")</f>
        <v/>
      </c>
      <c r="N86" s="16">
        <f>IFERROR(POISSON(12,L86,FALSE),"")</f>
        <v/>
      </c>
      <c r="O86" s="17">
        <f>IFERROR((1-N86)/M86,"")</f>
        <v/>
      </c>
      <c r="P86" s="18" t="n"/>
      <c r="Q86" s="19">
        <f>IF(P86="","",P86*M86+N86-1)</f>
        <v/>
      </c>
      <c r="R86" s="20">
        <f>IF(Q86="","awaiting price",IF(Q86&gt;='Read me'!$B$7,"BET",IF(Q86&gt;=0,"thin","no bet")))</f>
        <v/>
      </c>
    </row>
    <row r="87">
      <c r="A87" s="11" t="n">
        <v>46298</v>
      </c>
      <c r="B87" s="12" t="inlineStr">
        <is>
          <t>England League Two</t>
        </is>
      </c>
      <c r="C87" s="12" t="inlineStr">
        <is>
          <t>Chesterfield v Tranmere</t>
        </is>
      </c>
      <c r="D87" s="12" t="inlineStr">
        <is>
          <t>Chesterfield</t>
        </is>
      </c>
      <c r="E87" s="12" t="inlineStr">
        <is>
          <t>Home</t>
        </is>
      </c>
      <c r="F87" s="12" t="inlineStr">
        <is>
          <t>Team over</t>
        </is>
      </c>
      <c r="G87" s="12" t="inlineStr">
        <is>
          <t>4+ team corners</t>
        </is>
      </c>
      <c r="H87" s="12" t="n">
        <v>5</v>
      </c>
      <c r="I87" s="12" t="n">
        <v>8</v>
      </c>
      <c r="J87" s="12" t="inlineStr">
        <is>
          <t>5/5</t>
        </is>
      </c>
      <c r="K87" s="13" t="n">
        <v>6.8</v>
      </c>
      <c r="L87" s="14" t="n">
        <v>5.95</v>
      </c>
      <c r="M87" s="15">
        <f>IFERROR(1-(EXP(GAMMALN(0+'Read me'!$B$6)-GAMMALN('Read me'!$B$6)-GAMMALN(0+1)+'Read me'!$B$6*LN('Read me'!$B$6/('Read me'!$B$6+L87))+0*LN(L87/('Read me'!$B$6+L87)))+EXP(GAMMALN(1+'Read me'!$B$6)-GAMMALN('Read me'!$B$6)-GAMMALN(1+1)+'Read me'!$B$6*LN('Read me'!$B$6/('Read me'!$B$6+L87))+1*LN(L87/('Read me'!$B$6+L87)))+EXP(GAMMALN(2+'Read me'!$B$6)-GAMMALN('Read me'!$B$6)-GAMMALN(2+1)+'Read me'!$B$6*LN('Read me'!$B$6/('Read me'!$B$6+L87))+2*LN(L87/('Read me'!$B$6+L87)))+EXP(GAMMALN(3+'Read me'!$B$6)-GAMMALN('Read me'!$B$6)-GAMMALN(3+1)+'Read me'!$B$6*LN('Read me'!$B$6/('Read me'!$B$6+L87))+3*LN(L87/('Read me'!$B$6+L87)))),"")</f>
        <v/>
      </c>
      <c r="N87" s="16" t="n">
        <v>0</v>
      </c>
      <c r="O87" s="17">
        <f>IFERROR(1/M87,"")</f>
        <v/>
      </c>
      <c r="P87" s="18" t="n"/>
      <c r="Q87" s="19">
        <f>IF(P87="","",P87*M87-1)</f>
        <v/>
      </c>
      <c r="R87" s="20">
        <f>IF(Q87="","awaiting price",IF(Q87&gt;='Read me'!$B$7,"BET",IF(Q87&gt;=0,"thin","no bet")))</f>
        <v/>
      </c>
    </row>
    <row r="88">
      <c r="A88" s="11" t="n">
        <v>46298</v>
      </c>
      <c r="B88" s="12" t="inlineStr">
        <is>
          <t>Brazil Série A</t>
        </is>
      </c>
      <c r="C88" s="12" t="inlineStr">
        <is>
          <t>Atletico-MG v RB Bragantino</t>
        </is>
      </c>
      <c r="D88" s="12" t="inlineStr">
        <is>
          <t>RB Bragantino</t>
        </is>
      </c>
      <c r="E88" s="12" t="inlineStr">
        <is>
          <t>Away</t>
        </is>
      </c>
      <c r="F88" s="12" t="inlineStr">
        <is>
          <t>Team over</t>
        </is>
      </c>
      <c r="G88" s="12" t="inlineStr">
        <is>
          <t>3+ team corners</t>
        </is>
      </c>
      <c r="H88" s="12" t="n">
        <v>5</v>
      </c>
      <c r="I88" s="12" t="n">
        <v>7</v>
      </c>
      <c r="J88" s="12" t="inlineStr">
        <is>
          <t>5/5</t>
        </is>
      </c>
      <c r="K88" s="13" t="n">
        <v>6.6</v>
      </c>
      <c r="L88" s="14" t="n">
        <v>4.25</v>
      </c>
      <c r="M88" s="15">
        <f>IFERROR(1-(EXP(GAMMALN(0+'Read me'!$B$6)-GAMMALN('Read me'!$B$6)-GAMMALN(0+1)+'Read me'!$B$6*LN('Read me'!$B$6/('Read me'!$B$6+L88))+0*LN(L88/('Read me'!$B$6+L88)))+EXP(GAMMALN(1+'Read me'!$B$6)-GAMMALN('Read me'!$B$6)-GAMMALN(1+1)+'Read me'!$B$6*LN('Read me'!$B$6/('Read me'!$B$6+L88))+1*LN(L88/('Read me'!$B$6+L88)))+EXP(GAMMALN(2+'Read me'!$B$6)-GAMMALN('Read me'!$B$6)-GAMMALN(2+1)+'Read me'!$B$6*LN('Read me'!$B$6/('Read me'!$B$6+L88))+2*LN(L88/('Read me'!$B$6+L88)))),"")</f>
        <v/>
      </c>
      <c r="N88" s="16" t="n">
        <v>0</v>
      </c>
      <c r="O88" s="17">
        <f>IFERROR(1/M88,"")</f>
        <v/>
      </c>
      <c r="P88" s="18" t="n"/>
      <c r="Q88" s="19">
        <f>IF(P88="","",P88*M88-1)</f>
        <v/>
      </c>
      <c r="R88" s="20">
        <f>IF(Q88="","awaiting price",IF(Q88&gt;='Read me'!$B$7,"BET",IF(Q88&gt;=0,"thin","no bet")))</f>
        <v/>
      </c>
    </row>
    <row r="89">
      <c r="A89" s="11" t="n">
        <v>46298</v>
      </c>
      <c r="B89" s="12" t="inlineStr">
        <is>
          <t>England League Two</t>
        </is>
      </c>
      <c r="C89" s="12" t="inlineStr">
        <is>
          <t>Exeter City v Rotherham</t>
        </is>
      </c>
      <c r="D89" s="12" t="inlineStr">
        <is>
          <t>Rotherham</t>
        </is>
      </c>
      <c r="E89" s="12" t="inlineStr">
        <is>
          <t>Away</t>
        </is>
      </c>
      <c r="F89" s="12" t="inlineStr">
        <is>
          <t>Team over</t>
        </is>
      </c>
      <c r="G89" s="12" t="inlineStr">
        <is>
          <t>3+ team corners</t>
        </is>
      </c>
      <c r="H89" s="12" t="n">
        <v>5</v>
      </c>
      <c r="I89" s="12" t="n">
        <v>5</v>
      </c>
      <c r="J89" s="12" t="inlineStr">
        <is>
          <t>5/5</t>
        </is>
      </c>
      <c r="K89" s="13" t="n">
        <v>4.4</v>
      </c>
      <c r="L89" s="14" t="n">
        <v>3.96</v>
      </c>
      <c r="M89" s="15">
        <f>IFERROR(1-(EXP(GAMMALN(0+'Read me'!$B$6)-GAMMALN('Read me'!$B$6)-GAMMALN(0+1)+'Read me'!$B$6*LN('Read me'!$B$6/('Read me'!$B$6+L89))+0*LN(L89/('Read me'!$B$6+L89)))+EXP(GAMMALN(1+'Read me'!$B$6)-GAMMALN('Read me'!$B$6)-GAMMALN(1+1)+'Read me'!$B$6*LN('Read me'!$B$6/('Read me'!$B$6+L89))+1*LN(L89/('Read me'!$B$6+L89)))+EXP(GAMMALN(2+'Read me'!$B$6)-GAMMALN('Read me'!$B$6)-GAMMALN(2+1)+'Read me'!$B$6*LN('Read me'!$B$6/('Read me'!$B$6+L89))+2*LN(L89/('Read me'!$B$6+L89)))),"")</f>
        <v/>
      </c>
      <c r="N89" s="16" t="n">
        <v>0</v>
      </c>
      <c r="O89" s="17">
        <f>IFERROR(1/M89,"")</f>
        <v/>
      </c>
      <c r="P89" s="18" t="n"/>
      <c r="Q89" s="19">
        <f>IF(P89="","",P89*M89-1)</f>
        <v/>
      </c>
      <c r="R89" s="20">
        <f>IF(Q89="","awaiting price",IF(Q89&gt;='Read me'!$B$7,"BET",IF(Q89&gt;=0,"thin","no bet")))</f>
        <v/>
      </c>
    </row>
    <row r="90">
      <c r="A90" s="11" t="n">
        <v>46298</v>
      </c>
      <c r="B90" s="12" t="inlineStr">
        <is>
          <t>Argentina Liga Profesional</t>
        </is>
      </c>
      <c r="C90" s="12" t="inlineStr">
        <is>
          <t>Independ. Rivadavia v Gimnasia L.P.</t>
        </is>
      </c>
      <c r="D90" s="12" t="inlineStr">
        <is>
          <t>Gimnasia L.P.</t>
        </is>
      </c>
      <c r="E90" s="12" t="inlineStr">
        <is>
          <t>Away</t>
        </is>
      </c>
      <c r="F90" s="12" t="inlineStr">
        <is>
          <t>Team over</t>
        </is>
      </c>
      <c r="G90" s="12" t="inlineStr">
        <is>
          <t>3+ team corners</t>
        </is>
      </c>
      <c r="H90" s="12" t="n">
        <v>5</v>
      </c>
      <c r="I90" s="12" t="n">
        <v>5</v>
      </c>
      <c r="J90" s="12" t="inlineStr">
        <is>
          <t>5/5</t>
        </is>
      </c>
      <c r="K90" s="13" t="n">
        <v>3.8</v>
      </c>
      <c r="L90" s="14" t="n">
        <v>3.79</v>
      </c>
      <c r="M90" s="15">
        <f>IFERROR(1-(EXP(GAMMALN(0+'Read me'!$B$6)-GAMMALN('Read me'!$B$6)-GAMMALN(0+1)+'Read me'!$B$6*LN('Read me'!$B$6/('Read me'!$B$6+L90))+0*LN(L90/('Read me'!$B$6+L90)))+EXP(GAMMALN(1+'Read me'!$B$6)-GAMMALN('Read me'!$B$6)-GAMMALN(1+1)+'Read me'!$B$6*LN('Read me'!$B$6/('Read me'!$B$6+L90))+1*LN(L90/('Read me'!$B$6+L90)))+EXP(GAMMALN(2+'Read me'!$B$6)-GAMMALN('Read me'!$B$6)-GAMMALN(2+1)+'Read me'!$B$6*LN('Read me'!$B$6/('Read me'!$B$6+L90))+2*LN(L90/('Read me'!$B$6+L90)))),"")</f>
        <v/>
      </c>
      <c r="N90" s="16" t="n">
        <v>0</v>
      </c>
      <c r="O90" s="17">
        <f>IFERROR(1/M90,"")</f>
        <v/>
      </c>
      <c r="P90" s="18" t="n"/>
      <c r="Q90" s="19">
        <f>IF(P90="","",P90*M90-1)</f>
        <v/>
      </c>
      <c r="R90" s="20">
        <f>IF(Q90="","awaiting price",IF(Q90&gt;='Read me'!$B$7,"BET",IF(Q90&gt;=0,"thin","no bet")))</f>
        <v/>
      </c>
    </row>
    <row r="91">
      <c r="A91" s="11" t="n">
        <v>46298</v>
      </c>
      <c r="B91" s="12" t="inlineStr">
        <is>
          <t>England League One</t>
        </is>
      </c>
      <c r="C91" s="12" t="inlineStr">
        <is>
          <t>Wigan v Mansfield Town</t>
        </is>
      </c>
      <c r="D91" s="12" t="inlineStr">
        <is>
          <t>Mansfield Town</t>
        </is>
      </c>
      <c r="E91" s="12" t="inlineStr">
        <is>
          <t>Away</t>
        </is>
      </c>
      <c r="F91" s="12" t="inlineStr">
        <is>
          <t>Team under</t>
        </is>
      </c>
      <c r="G91" s="12" t="inlineStr">
        <is>
          <t>under 5 team corners</t>
        </is>
      </c>
      <c r="H91" s="12" t="n">
        <v>5</v>
      </c>
      <c r="I91" s="12" t="n">
        <v>5</v>
      </c>
      <c r="J91" s="12" t="inlineStr">
        <is>
          <t>4/4</t>
        </is>
      </c>
      <c r="K91" s="13" t="n">
        <v>3.2</v>
      </c>
      <c r="L91" s="14" t="n">
        <v>4.24</v>
      </c>
      <c r="M91" s="15">
        <f>IFERROR((EXP(GAMMALN(0+'Read me'!$B$6)-GAMMALN('Read me'!$B$6)-GAMMALN(0+1)+'Read me'!$B$6*LN('Read me'!$B$6/('Read me'!$B$6+L91))+0*LN(L91/('Read me'!$B$6+L91)))+EXP(GAMMALN(1+'Read me'!$B$6)-GAMMALN('Read me'!$B$6)-GAMMALN(1+1)+'Read me'!$B$6*LN('Read me'!$B$6/('Read me'!$B$6+L91))+1*LN(L91/('Read me'!$B$6+L91)))+EXP(GAMMALN(2+'Read me'!$B$6)-GAMMALN('Read me'!$B$6)-GAMMALN(2+1)+'Read me'!$B$6*LN('Read me'!$B$6/('Read me'!$B$6+L91))+2*LN(L91/('Read me'!$B$6+L91)))+EXP(GAMMALN(3+'Read me'!$B$6)-GAMMALN('Read me'!$B$6)-GAMMALN(3+1)+'Read me'!$B$6*LN('Read me'!$B$6/('Read me'!$B$6+L91))+3*LN(L91/('Read me'!$B$6+L91)))+EXP(GAMMALN(4+'Read me'!$B$6)-GAMMALN('Read me'!$B$6)-GAMMALN(4+1)+'Read me'!$B$6*LN('Read me'!$B$6/('Read me'!$B$6+L91))+4*LN(L91/('Read me'!$B$6+L91)))),"")</f>
        <v/>
      </c>
      <c r="N91" s="16">
        <f>IFERROR(EXP(GAMMALN(5+'Read me'!$B$6)-GAMMALN('Read me'!$B$6)-GAMMALN(5+1)+'Read me'!$B$6*LN('Read me'!$B$6/('Read me'!$B$6+L91))+5*LN(L91/('Read me'!$B$6+L91))),"")</f>
        <v/>
      </c>
      <c r="O91" s="17">
        <f>IFERROR((1-N91)/M91,"")</f>
        <v/>
      </c>
      <c r="P91" s="18" t="n"/>
      <c r="Q91" s="19">
        <f>IF(P91="","",P91*M91+N91-1)</f>
        <v/>
      </c>
      <c r="R91" s="20">
        <f>IF(Q91="","awaiting price",IF(Q91&gt;='Read me'!$B$7,"BET",IF(Q91&gt;=0,"thin","no bet")))</f>
        <v/>
      </c>
    </row>
    <row r="92">
      <c r="A92" s="11" t="n">
        <v>46298</v>
      </c>
      <c r="B92" s="12" t="inlineStr">
        <is>
          <t>England League Two</t>
        </is>
      </c>
      <c r="C92" s="12" t="inlineStr">
        <is>
          <t>Exeter City v Rotherham</t>
        </is>
      </c>
      <c r="D92" s="12" t="inlineStr">
        <is>
          <t>Exeter City</t>
        </is>
      </c>
      <c r="E92" s="12" t="inlineStr">
        <is>
          <t>Home</t>
        </is>
      </c>
      <c r="F92" s="12" t="inlineStr">
        <is>
          <t>Team under</t>
        </is>
      </c>
      <c r="G92" s="12" t="inlineStr">
        <is>
          <t>under 6 team corners</t>
        </is>
      </c>
      <c r="H92" s="12" t="n">
        <v>5</v>
      </c>
      <c r="I92" s="12" t="n">
        <v>5</v>
      </c>
      <c r="J92" s="12" t="inlineStr">
        <is>
          <t>4/4</t>
        </is>
      </c>
      <c r="K92" s="13" t="n">
        <v>3.6</v>
      </c>
      <c r="L92" s="14" t="n">
        <v>5.23</v>
      </c>
      <c r="M92" s="15">
        <f>IFERROR((EXP(GAMMALN(0+'Read me'!$B$6)-GAMMALN('Read me'!$B$6)-GAMMALN(0+1)+'Read me'!$B$6*LN('Read me'!$B$6/('Read me'!$B$6+L92))+0*LN(L92/('Read me'!$B$6+L92)))+EXP(GAMMALN(1+'Read me'!$B$6)-GAMMALN('Read me'!$B$6)-GAMMALN(1+1)+'Read me'!$B$6*LN('Read me'!$B$6/('Read me'!$B$6+L92))+1*LN(L92/('Read me'!$B$6+L92)))+EXP(GAMMALN(2+'Read me'!$B$6)-GAMMALN('Read me'!$B$6)-GAMMALN(2+1)+'Read me'!$B$6*LN('Read me'!$B$6/('Read me'!$B$6+L92))+2*LN(L92/('Read me'!$B$6+L92)))+EXP(GAMMALN(3+'Read me'!$B$6)-GAMMALN('Read me'!$B$6)-GAMMALN(3+1)+'Read me'!$B$6*LN('Read me'!$B$6/('Read me'!$B$6+L92))+3*LN(L92/('Read me'!$B$6+L92)))+EXP(GAMMALN(4+'Read me'!$B$6)-GAMMALN('Read me'!$B$6)-GAMMALN(4+1)+'Read me'!$B$6*LN('Read me'!$B$6/('Read me'!$B$6+L92))+4*LN(L92/('Read me'!$B$6+L92)))+EXP(GAMMALN(5+'Read me'!$B$6)-GAMMALN('Read me'!$B$6)-GAMMALN(5+1)+'Read me'!$B$6*LN('Read me'!$B$6/('Read me'!$B$6+L92))+5*LN(L92/('Read me'!$B$6+L92)))),"")</f>
        <v/>
      </c>
      <c r="N92" s="16">
        <f>IFERROR(EXP(GAMMALN(6+'Read me'!$B$6)-GAMMALN('Read me'!$B$6)-GAMMALN(6+1)+'Read me'!$B$6*LN('Read me'!$B$6/('Read me'!$B$6+L92))+6*LN(L92/('Read me'!$B$6+L92))),"")</f>
        <v/>
      </c>
      <c r="O92" s="17">
        <f>IFERROR((1-N92)/M92,"")</f>
        <v/>
      </c>
      <c r="P92" s="18" t="n"/>
      <c r="Q92" s="19">
        <f>IF(P92="","",P92*M92+N92-1)</f>
        <v/>
      </c>
      <c r="R92" s="20">
        <f>IF(Q92="","awaiting price",IF(Q92&gt;='Read me'!$B$7,"BET",IF(Q92&gt;=0,"thin","no bet")))</f>
        <v/>
      </c>
    </row>
    <row r="93">
      <c r="A93" s="11" t="n">
        <v>46298</v>
      </c>
      <c r="B93" s="12" t="inlineStr">
        <is>
          <t>Argentina Liga Profesional</t>
        </is>
      </c>
      <c r="C93" s="12" t="inlineStr">
        <is>
          <t>Boca Juniors v Union Santa Fe</t>
        </is>
      </c>
      <c r="D93" s="12" t="inlineStr">
        <is>
          <t>Union Santa Fe</t>
        </is>
      </c>
      <c r="E93" s="12" t="inlineStr">
        <is>
          <t>Away</t>
        </is>
      </c>
      <c r="F93" s="12" t="inlineStr">
        <is>
          <t>Team under</t>
        </is>
      </c>
      <c r="G93" s="12" t="inlineStr">
        <is>
          <t>under 6 team corners</t>
        </is>
      </c>
      <c r="H93" s="12" t="n">
        <v>5</v>
      </c>
      <c r="I93" s="12" t="n">
        <v>5</v>
      </c>
      <c r="J93" s="12" t="inlineStr">
        <is>
          <t>4/4</t>
        </is>
      </c>
      <c r="K93" s="13" t="n">
        <v>3.6</v>
      </c>
      <c r="L93" s="14" t="n">
        <v>4.2</v>
      </c>
      <c r="M93" s="15">
        <f>IFERROR((EXP(GAMMALN(0+'Read me'!$B$6)-GAMMALN('Read me'!$B$6)-GAMMALN(0+1)+'Read me'!$B$6*LN('Read me'!$B$6/('Read me'!$B$6+L93))+0*LN(L93/('Read me'!$B$6+L93)))+EXP(GAMMALN(1+'Read me'!$B$6)-GAMMALN('Read me'!$B$6)-GAMMALN(1+1)+'Read me'!$B$6*LN('Read me'!$B$6/('Read me'!$B$6+L93))+1*LN(L93/('Read me'!$B$6+L93)))+EXP(GAMMALN(2+'Read me'!$B$6)-GAMMALN('Read me'!$B$6)-GAMMALN(2+1)+'Read me'!$B$6*LN('Read me'!$B$6/('Read me'!$B$6+L93))+2*LN(L93/('Read me'!$B$6+L93)))+EXP(GAMMALN(3+'Read me'!$B$6)-GAMMALN('Read me'!$B$6)-GAMMALN(3+1)+'Read me'!$B$6*LN('Read me'!$B$6/('Read me'!$B$6+L93))+3*LN(L93/('Read me'!$B$6+L93)))+EXP(GAMMALN(4+'Read me'!$B$6)-GAMMALN('Read me'!$B$6)-GAMMALN(4+1)+'Read me'!$B$6*LN('Read me'!$B$6/('Read me'!$B$6+L93))+4*LN(L93/('Read me'!$B$6+L93)))+EXP(GAMMALN(5+'Read me'!$B$6)-GAMMALN('Read me'!$B$6)-GAMMALN(5+1)+'Read me'!$B$6*LN('Read me'!$B$6/('Read me'!$B$6+L93))+5*LN(L93/('Read me'!$B$6+L93)))),"")</f>
        <v/>
      </c>
      <c r="N93" s="16">
        <f>IFERROR(EXP(GAMMALN(6+'Read me'!$B$6)-GAMMALN('Read me'!$B$6)-GAMMALN(6+1)+'Read me'!$B$6*LN('Read me'!$B$6/('Read me'!$B$6+L93))+6*LN(L93/('Read me'!$B$6+L93))),"")</f>
        <v/>
      </c>
      <c r="O93" s="17">
        <f>IFERROR((1-N93)/M93,"")</f>
        <v/>
      </c>
      <c r="P93" s="18" t="n"/>
      <c r="Q93" s="19">
        <f>IF(P93="","",P93*M93+N93-1)</f>
        <v/>
      </c>
      <c r="R93" s="20">
        <f>IF(Q93="","awaiting price",IF(Q93&gt;='Read me'!$B$7,"BET",IF(Q93&gt;=0,"thin","no bet")))</f>
        <v/>
      </c>
    </row>
    <row r="94">
      <c r="A94" s="11" t="n">
        <v>46298</v>
      </c>
      <c r="B94" s="12" t="inlineStr">
        <is>
          <t>Netherlands Eerste Divisie</t>
        </is>
      </c>
      <c r="C94" s="12" t="inlineStr">
        <is>
          <t>FC OSS v MVV</t>
        </is>
      </c>
      <c r="D94" s="12" t="inlineStr">
        <is>
          <t>FC OSS</t>
        </is>
      </c>
      <c r="E94" s="12" t="inlineStr">
        <is>
          <t>Home</t>
        </is>
      </c>
      <c r="F94" s="12" t="inlineStr">
        <is>
          <t>Team under</t>
        </is>
      </c>
      <c r="G94" s="12" t="inlineStr">
        <is>
          <t>under 7 team corners</t>
        </is>
      </c>
      <c r="H94" s="12" t="n">
        <v>5</v>
      </c>
      <c r="I94" s="12" t="n">
        <v>5</v>
      </c>
      <c r="J94" s="12" t="inlineStr">
        <is>
          <t>4/4</t>
        </is>
      </c>
      <c r="K94" s="13" t="n">
        <v>3.2</v>
      </c>
      <c r="L94" s="14" t="n">
        <v>7.15</v>
      </c>
      <c r="M94" s="15">
        <f>IFERROR((EXP(GAMMALN(0+'Read me'!$B$6)-GAMMALN('Read me'!$B$6)-GAMMALN(0+1)+'Read me'!$B$6*LN('Read me'!$B$6/('Read me'!$B$6+L94))+0*LN(L94/('Read me'!$B$6+L94)))+EXP(GAMMALN(1+'Read me'!$B$6)-GAMMALN('Read me'!$B$6)-GAMMALN(1+1)+'Read me'!$B$6*LN('Read me'!$B$6/('Read me'!$B$6+L94))+1*LN(L94/('Read me'!$B$6+L94)))+EXP(GAMMALN(2+'Read me'!$B$6)-GAMMALN('Read me'!$B$6)-GAMMALN(2+1)+'Read me'!$B$6*LN('Read me'!$B$6/('Read me'!$B$6+L94))+2*LN(L94/('Read me'!$B$6+L94)))+EXP(GAMMALN(3+'Read me'!$B$6)-GAMMALN('Read me'!$B$6)-GAMMALN(3+1)+'Read me'!$B$6*LN('Read me'!$B$6/('Read me'!$B$6+L94))+3*LN(L94/('Read me'!$B$6+L94)))+EXP(GAMMALN(4+'Read me'!$B$6)-GAMMALN('Read me'!$B$6)-GAMMALN(4+1)+'Read me'!$B$6*LN('Read me'!$B$6/('Read me'!$B$6+L94))+4*LN(L94/('Read me'!$B$6+L94)))+EXP(GAMMALN(5+'Read me'!$B$6)-GAMMALN('Read me'!$B$6)-GAMMALN(5+1)+'Read me'!$B$6*LN('Read me'!$B$6/('Read me'!$B$6+L94))+5*LN(L94/('Read me'!$B$6+L94)))+EXP(GAMMALN(6+'Read me'!$B$6)-GAMMALN('Read me'!$B$6)-GAMMALN(6+1)+'Read me'!$B$6*LN('Read me'!$B$6/('Read me'!$B$6+L94))+6*LN(L94/('Read me'!$B$6+L94)))),"")</f>
        <v/>
      </c>
      <c r="N94" s="16">
        <f>IFERROR(EXP(GAMMALN(7+'Read me'!$B$6)-GAMMALN('Read me'!$B$6)-GAMMALN(7+1)+'Read me'!$B$6*LN('Read me'!$B$6/('Read me'!$B$6+L94))+7*LN(L94/('Read me'!$B$6+L94))),"")</f>
        <v/>
      </c>
      <c r="O94" s="17">
        <f>IFERROR((1-N94)/M94,"")</f>
        <v/>
      </c>
      <c r="P94" s="18" t="n"/>
      <c r="Q94" s="19">
        <f>IF(P94="","",P94*M94+N94-1)</f>
        <v/>
      </c>
      <c r="R94" s="20">
        <f>IF(Q94="","awaiting price",IF(Q94&gt;='Read me'!$B$7,"BET",IF(Q94&gt;=0,"thin","no bet")))</f>
        <v/>
      </c>
    </row>
    <row r="95">
      <c r="A95" s="11" t="n">
        <v>46298</v>
      </c>
      <c r="B95" s="12" t="inlineStr">
        <is>
          <t>Argentina Liga Profesional</t>
        </is>
      </c>
      <c r="C95" s="12" t="inlineStr">
        <is>
          <t>Atletico Tucuman v Barracas Central</t>
        </is>
      </c>
      <c r="D95" s="12" t="inlineStr">
        <is>
          <t>Atletico Tucuman</t>
        </is>
      </c>
      <c r="E95" s="12" t="inlineStr">
        <is>
          <t>Home</t>
        </is>
      </c>
      <c r="F95" s="12" t="inlineStr">
        <is>
          <t>Team under</t>
        </is>
      </c>
      <c r="G95" s="12" t="inlineStr">
        <is>
          <t>under 7 team corners</t>
        </is>
      </c>
      <c r="H95" s="12" t="n">
        <v>5</v>
      </c>
      <c r="I95" s="12" t="n">
        <v>8</v>
      </c>
      <c r="J95" s="12" t="inlineStr">
        <is>
          <t>4/4</t>
        </is>
      </c>
      <c r="K95" s="13" t="n">
        <v>4</v>
      </c>
      <c r="L95" s="14" t="n">
        <v>4.22</v>
      </c>
      <c r="M95" s="15">
        <f>IFERROR((EXP(GAMMALN(0+'Read me'!$B$6)-GAMMALN('Read me'!$B$6)-GAMMALN(0+1)+'Read me'!$B$6*LN('Read me'!$B$6/('Read me'!$B$6+L95))+0*LN(L95/('Read me'!$B$6+L95)))+EXP(GAMMALN(1+'Read me'!$B$6)-GAMMALN('Read me'!$B$6)-GAMMALN(1+1)+'Read me'!$B$6*LN('Read me'!$B$6/('Read me'!$B$6+L95))+1*LN(L95/('Read me'!$B$6+L95)))+EXP(GAMMALN(2+'Read me'!$B$6)-GAMMALN('Read me'!$B$6)-GAMMALN(2+1)+'Read me'!$B$6*LN('Read me'!$B$6/('Read me'!$B$6+L95))+2*LN(L95/('Read me'!$B$6+L95)))+EXP(GAMMALN(3+'Read me'!$B$6)-GAMMALN('Read me'!$B$6)-GAMMALN(3+1)+'Read me'!$B$6*LN('Read me'!$B$6/('Read me'!$B$6+L95))+3*LN(L95/('Read me'!$B$6+L95)))+EXP(GAMMALN(4+'Read me'!$B$6)-GAMMALN('Read me'!$B$6)-GAMMALN(4+1)+'Read me'!$B$6*LN('Read me'!$B$6/('Read me'!$B$6+L95))+4*LN(L95/('Read me'!$B$6+L95)))+EXP(GAMMALN(5+'Read me'!$B$6)-GAMMALN('Read me'!$B$6)-GAMMALN(5+1)+'Read me'!$B$6*LN('Read me'!$B$6/('Read me'!$B$6+L95))+5*LN(L95/('Read me'!$B$6+L95)))+EXP(GAMMALN(6+'Read me'!$B$6)-GAMMALN('Read me'!$B$6)-GAMMALN(6+1)+'Read me'!$B$6*LN('Read me'!$B$6/('Read me'!$B$6+L95))+6*LN(L95/('Read me'!$B$6+L95)))),"")</f>
        <v/>
      </c>
      <c r="N95" s="16">
        <f>IFERROR(EXP(GAMMALN(7+'Read me'!$B$6)-GAMMALN('Read me'!$B$6)-GAMMALN(7+1)+'Read me'!$B$6*LN('Read me'!$B$6/('Read me'!$B$6+L95))+7*LN(L95/('Read me'!$B$6+L95))),"")</f>
        <v/>
      </c>
      <c r="O95" s="17">
        <f>IFERROR((1-N95)/M95,"")</f>
        <v/>
      </c>
      <c r="P95" s="18" t="n"/>
      <c r="Q95" s="19">
        <f>IF(P95="","",P95*M95+N95-1)</f>
        <v/>
      </c>
      <c r="R95" s="20">
        <f>IF(Q95="","awaiting price",IF(Q95&gt;='Read me'!$B$7,"BET",IF(Q95&gt;=0,"thin","no bet")))</f>
        <v/>
      </c>
    </row>
    <row r="96">
      <c r="A96" s="11" t="n">
        <v>46298</v>
      </c>
      <c r="B96" s="12" t="inlineStr">
        <is>
          <t>England League Two</t>
        </is>
      </c>
      <c r="C96" s="12" t="inlineStr">
        <is>
          <t>Salford City v Fleetwood Town</t>
        </is>
      </c>
      <c r="D96" s="12" t="inlineStr">
        <is>
          <t>Fleetwood Town</t>
        </is>
      </c>
      <c r="E96" s="12" t="inlineStr">
        <is>
          <t>Away</t>
        </is>
      </c>
      <c r="F96" s="12" t="inlineStr">
        <is>
          <t>Team under</t>
        </is>
      </c>
      <c r="G96" s="12" t="inlineStr">
        <is>
          <t>under 7 team corners</t>
        </is>
      </c>
      <c r="H96" s="12" t="n">
        <v>5</v>
      </c>
      <c r="I96" s="12" t="n">
        <v>5</v>
      </c>
      <c r="J96" s="12" t="inlineStr">
        <is>
          <t>4/4</t>
        </is>
      </c>
      <c r="K96" s="13" t="n">
        <v>4.8</v>
      </c>
      <c r="L96" s="14" t="n">
        <v>3.77</v>
      </c>
      <c r="M96" s="15">
        <f>IFERROR((EXP(GAMMALN(0+'Read me'!$B$6)-GAMMALN('Read me'!$B$6)-GAMMALN(0+1)+'Read me'!$B$6*LN('Read me'!$B$6/('Read me'!$B$6+L96))+0*LN(L96/('Read me'!$B$6+L96)))+EXP(GAMMALN(1+'Read me'!$B$6)-GAMMALN('Read me'!$B$6)-GAMMALN(1+1)+'Read me'!$B$6*LN('Read me'!$B$6/('Read me'!$B$6+L96))+1*LN(L96/('Read me'!$B$6+L96)))+EXP(GAMMALN(2+'Read me'!$B$6)-GAMMALN('Read me'!$B$6)-GAMMALN(2+1)+'Read me'!$B$6*LN('Read me'!$B$6/('Read me'!$B$6+L96))+2*LN(L96/('Read me'!$B$6+L96)))+EXP(GAMMALN(3+'Read me'!$B$6)-GAMMALN('Read me'!$B$6)-GAMMALN(3+1)+'Read me'!$B$6*LN('Read me'!$B$6/('Read me'!$B$6+L96))+3*LN(L96/('Read me'!$B$6+L96)))+EXP(GAMMALN(4+'Read me'!$B$6)-GAMMALN('Read me'!$B$6)-GAMMALN(4+1)+'Read me'!$B$6*LN('Read me'!$B$6/('Read me'!$B$6+L96))+4*LN(L96/('Read me'!$B$6+L96)))+EXP(GAMMALN(5+'Read me'!$B$6)-GAMMALN('Read me'!$B$6)-GAMMALN(5+1)+'Read me'!$B$6*LN('Read me'!$B$6/('Read me'!$B$6+L96))+5*LN(L96/('Read me'!$B$6+L96)))+EXP(GAMMALN(6+'Read me'!$B$6)-GAMMALN('Read me'!$B$6)-GAMMALN(6+1)+'Read me'!$B$6*LN('Read me'!$B$6/('Read me'!$B$6+L96))+6*LN(L96/('Read me'!$B$6+L96)))),"")</f>
        <v/>
      </c>
      <c r="N96" s="16">
        <f>IFERROR(EXP(GAMMALN(7+'Read me'!$B$6)-GAMMALN('Read me'!$B$6)-GAMMALN(7+1)+'Read me'!$B$6*LN('Read me'!$B$6/('Read me'!$B$6+L96))+7*LN(L96/('Read me'!$B$6+L96))),"")</f>
        <v/>
      </c>
      <c r="O96" s="17">
        <f>IFERROR((1-N96)/M96,"")</f>
        <v/>
      </c>
      <c r="P96" s="18" t="n"/>
      <c r="Q96" s="19">
        <f>IF(P96="","",P96*M96+N96-1)</f>
        <v/>
      </c>
      <c r="R96" s="20">
        <f>IF(Q96="","awaiting price",IF(Q96&gt;='Read me'!$B$7,"BET",IF(Q96&gt;=0,"thin","no bet")))</f>
        <v/>
      </c>
    </row>
    <row r="97">
      <c r="A97" s="11" t="n">
        <v>46298</v>
      </c>
      <c r="B97" s="12" t="inlineStr">
        <is>
          <t>England League Two</t>
        </is>
      </c>
      <c r="C97" s="12" t="inlineStr">
        <is>
          <t>Gillingham v Newport County</t>
        </is>
      </c>
      <c r="D97" s="12" t="inlineStr">
        <is>
          <t>Gillingham</t>
        </is>
      </c>
      <c r="E97" s="12" t="inlineStr">
        <is>
          <t>Home</t>
        </is>
      </c>
      <c r="F97" s="12" t="inlineStr">
        <is>
          <t>Match under</t>
        </is>
      </c>
      <c r="G97" s="12" t="inlineStr">
        <is>
          <t>under 12 match corners</t>
        </is>
      </c>
      <c r="H97" s="12" t="n">
        <v>5</v>
      </c>
      <c r="I97" s="12" t="n">
        <v>10</v>
      </c>
      <c r="J97" s="12" t="inlineStr">
        <is>
          <t>4/4</t>
        </is>
      </c>
      <c r="K97" s="13" t="n">
        <v>8.199999999999999</v>
      </c>
      <c r="L97" s="14" t="n">
        <v>9.029999999999999</v>
      </c>
      <c r="M97" s="15">
        <f>IFERROR(POISSON(12-1,L97,TRUE),"")</f>
        <v/>
      </c>
      <c r="N97" s="16">
        <f>IFERROR(POISSON(12,L97,FALSE),"")</f>
        <v/>
      </c>
      <c r="O97" s="17">
        <f>IFERROR((1-N97)/M97,"")</f>
        <v/>
      </c>
      <c r="P97" s="18" t="n"/>
      <c r="Q97" s="19">
        <f>IF(P97="","",P97*M97+N97-1)</f>
        <v/>
      </c>
      <c r="R97" s="20">
        <f>IF(Q97="","awaiting price",IF(Q97&gt;='Read me'!$B$7,"BET",IF(Q97&gt;=0,"thin","no bet")))</f>
        <v/>
      </c>
    </row>
    <row r="98">
      <c r="A98" s="11" t="n">
        <v>46298</v>
      </c>
      <c r="B98" s="12" t="inlineStr">
        <is>
          <t>England League Two</t>
        </is>
      </c>
      <c r="C98" s="12" t="inlineStr">
        <is>
          <t>Gillingham v Newport County</t>
        </is>
      </c>
      <c r="D98" s="12" t="inlineStr">
        <is>
          <t>Newport County</t>
        </is>
      </c>
      <c r="E98" s="12" t="inlineStr">
        <is>
          <t>Away</t>
        </is>
      </c>
      <c r="F98" s="12" t="inlineStr">
        <is>
          <t>Match under</t>
        </is>
      </c>
      <c r="G98" s="12" t="inlineStr">
        <is>
          <t>under 12 match corners</t>
        </is>
      </c>
      <c r="H98" s="12" t="n">
        <v>5</v>
      </c>
      <c r="I98" s="12" t="n">
        <v>5</v>
      </c>
      <c r="J98" s="12" t="inlineStr">
        <is>
          <t>4/4</t>
        </is>
      </c>
      <c r="K98" s="13" t="n">
        <v>8.6</v>
      </c>
      <c r="L98" s="14" t="n">
        <v>9.029999999999999</v>
      </c>
      <c r="M98" s="15">
        <f>IFERROR(POISSON(12-1,L98,TRUE),"")</f>
        <v/>
      </c>
      <c r="N98" s="16">
        <f>IFERROR(POISSON(12,L98,FALSE),"")</f>
        <v/>
      </c>
      <c r="O98" s="17">
        <f>IFERROR((1-N98)/M98,"")</f>
        <v/>
      </c>
      <c r="P98" s="18" t="n"/>
      <c r="Q98" s="19">
        <f>IF(P98="","",P98*M98+N98-1)</f>
        <v/>
      </c>
      <c r="R98" s="20">
        <f>IF(Q98="","awaiting price",IF(Q98&gt;='Read me'!$B$7,"BET",IF(Q98&gt;=0,"thin","no bet")))</f>
        <v/>
      </c>
    </row>
    <row r="99">
      <c r="A99" s="11" t="n">
        <v>46299</v>
      </c>
      <c r="B99" s="12" t="inlineStr">
        <is>
          <t>Netherlands Eerste Divisie</t>
        </is>
      </c>
      <c r="C99" s="12" t="inlineStr">
        <is>
          <t>VVV Venlo v Roda</t>
        </is>
      </c>
      <c r="D99" s="12" t="inlineStr">
        <is>
          <t>Roda</t>
        </is>
      </c>
      <c r="E99" s="12" t="inlineStr">
        <is>
          <t>Away</t>
        </is>
      </c>
      <c r="F99" s="12" t="inlineStr">
        <is>
          <t>Team under</t>
        </is>
      </c>
      <c r="G99" s="12" t="inlineStr">
        <is>
          <t>under 6 team corners</t>
        </is>
      </c>
      <c r="H99" s="12" t="n">
        <v>5</v>
      </c>
      <c r="I99" s="12" t="n">
        <v>6</v>
      </c>
      <c r="J99" s="12" t="inlineStr">
        <is>
          <t>4/4</t>
        </is>
      </c>
      <c r="K99" s="13" t="n">
        <v>3.6</v>
      </c>
      <c r="L99" s="14" t="n">
        <v>4.63</v>
      </c>
      <c r="M99" s="15">
        <f>IFERROR((EXP(GAMMALN(0+'Read me'!$B$6)-GAMMALN('Read me'!$B$6)-GAMMALN(0+1)+'Read me'!$B$6*LN('Read me'!$B$6/('Read me'!$B$6+L99))+0*LN(L99/('Read me'!$B$6+L99)))+EXP(GAMMALN(1+'Read me'!$B$6)-GAMMALN('Read me'!$B$6)-GAMMALN(1+1)+'Read me'!$B$6*LN('Read me'!$B$6/('Read me'!$B$6+L99))+1*LN(L99/('Read me'!$B$6+L99)))+EXP(GAMMALN(2+'Read me'!$B$6)-GAMMALN('Read me'!$B$6)-GAMMALN(2+1)+'Read me'!$B$6*LN('Read me'!$B$6/('Read me'!$B$6+L99))+2*LN(L99/('Read me'!$B$6+L99)))+EXP(GAMMALN(3+'Read me'!$B$6)-GAMMALN('Read me'!$B$6)-GAMMALN(3+1)+'Read me'!$B$6*LN('Read me'!$B$6/('Read me'!$B$6+L99))+3*LN(L99/('Read me'!$B$6+L99)))+EXP(GAMMALN(4+'Read me'!$B$6)-GAMMALN('Read me'!$B$6)-GAMMALN(4+1)+'Read me'!$B$6*LN('Read me'!$B$6/('Read me'!$B$6+L99))+4*LN(L99/('Read me'!$B$6+L99)))+EXP(GAMMALN(5+'Read me'!$B$6)-GAMMALN('Read me'!$B$6)-GAMMALN(5+1)+'Read me'!$B$6*LN('Read me'!$B$6/('Read me'!$B$6+L99))+5*LN(L99/('Read me'!$B$6+L99)))),"")</f>
        <v/>
      </c>
      <c r="N99" s="16">
        <f>IFERROR(EXP(GAMMALN(6+'Read me'!$B$6)-GAMMALN('Read me'!$B$6)-GAMMALN(6+1)+'Read me'!$B$6*LN('Read me'!$B$6/('Read me'!$B$6+L99))+6*LN(L99/('Read me'!$B$6+L99))),"")</f>
        <v/>
      </c>
      <c r="O99" s="17">
        <f>IFERROR((1-N99)/M99,"")</f>
        <v/>
      </c>
      <c r="P99" s="18" t="n"/>
      <c r="Q99" s="19">
        <f>IF(P99="","",P99*M99+N99-1)</f>
        <v/>
      </c>
      <c r="R99" s="20">
        <f>IF(Q99="","awaiting price",IF(Q99&gt;='Read me'!$B$7,"BET",IF(Q99&gt;=0,"thin","no bet")))</f>
        <v/>
      </c>
    </row>
    <row r="100">
      <c r="A100" s="11" t="n">
        <v>46300</v>
      </c>
      <c r="B100" s="12" t="inlineStr">
        <is>
          <t>Argentina Liga Profesional</t>
        </is>
      </c>
      <c r="C100" s="12" t="inlineStr">
        <is>
          <t>Deportivo Riestra v Central Cordoba de Santiago</t>
        </is>
      </c>
      <c r="D100" s="12" t="inlineStr">
        <is>
          <t>Central Cordoba de Santiago</t>
        </is>
      </c>
      <c r="E100" s="12" t="inlineStr">
        <is>
          <t>Away</t>
        </is>
      </c>
      <c r="F100" s="12" t="inlineStr">
        <is>
          <t>Team over</t>
        </is>
      </c>
      <c r="G100" s="12" t="inlineStr">
        <is>
          <t>5+ team corners</t>
        </is>
      </c>
      <c r="H100" s="12" t="n">
        <v>5</v>
      </c>
      <c r="I100" s="12" t="n">
        <v>5</v>
      </c>
      <c r="J100" s="12" t="inlineStr">
        <is>
          <t>5/5</t>
        </is>
      </c>
      <c r="K100" s="13" t="n">
        <v>7.2</v>
      </c>
      <c r="L100" s="14" t="n">
        <v>4.19</v>
      </c>
      <c r="M100" s="15">
        <f>IFERROR(1-(EXP(GAMMALN(0+'Read me'!$B$6)-GAMMALN('Read me'!$B$6)-GAMMALN(0+1)+'Read me'!$B$6*LN('Read me'!$B$6/('Read me'!$B$6+L100))+0*LN(L100/('Read me'!$B$6+L100)))+EXP(GAMMALN(1+'Read me'!$B$6)-GAMMALN('Read me'!$B$6)-GAMMALN(1+1)+'Read me'!$B$6*LN('Read me'!$B$6/('Read me'!$B$6+L100))+1*LN(L100/('Read me'!$B$6+L100)))+EXP(GAMMALN(2+'Read me'!$B$6)-GAMMALN('Read me'!$B$6)-GAMMALN(2+1)+'Read me'!$B$6*LN('Read me'!$B$6/('Read me'!$B$6+L100))+2*LN(L100/('Read me'!$B$6+L100)))+EXP(GAMMALN(3+'Read me'!$B$6)-GAMMALN('Read me'!$B$6)-GAMMALN(3+1)+'Read me'!$B$6*LN('Read me'!$B$6/('Read me'!$B$6+L100))+3*LN(L100/('Read me'!$B$6+L100)))+EXP(GAMMALN(4+'Read me'!$B$6)-GAMMALN('Read me'!$B$6)-GAMMALN(4+1)+'Read me'!$B$6*LN('Read me'!$B$6/('Read me'!$B$6+L100))+4*LN(L100/('Read me'!$B$6+L100)))),"")</f>
        <v/>
      </c>
      <c r="N100" s="16" t="n">
        <v>0</v>
      </c>
      <c r="O100" s="17">
        <f>IFERROR(1/M100,"")</f>
        <v/>
      </c>
      <c r="P100" s="18" t="n"/>
      <c r="Q100" s="19">
        <f>IF(P100="","",P100*M100-1)</f>
        <v/>
      </c>
      <c r="R100" s="20">
        <f>IF(Q100="","awaiting price",IF(Q100&gt;='Read me'!$B$7,"BET",IF(Q100&gt;=0,"thin","no bet")))</f>
        <v/>
      </c>
    </row>
    <row r="101">
      <c r="A101" s="11" t="n">
        <v>46300</v>
      </c>
      <c r="B101" s="12" t="inlineStr">
        <is>
          <t>Argentina Liga Profesional</t>
        </is>
      </c>
      <c r="C101" s="12" t="inlineStr">
        <is>
          <t>Deportivo Riestra v Central Cordoba de Santiago</t>
        </is>
      </c>
      <c r="D101" s="12" t="inlineStr">
        <is>
          <t>Deportivo Riestra</t>
        </is>
      </c>
      <c r="E101" s="12" t="inlineStr">
        <is>
          <t>Home</t>
        </is>
      </c>
      <c r="F101" s="12" t="inlineStr">
        <is>
          <t>Team under</t>
        </is>
      </c>
      <c r="G101" s="12" t="inlineStr">
        <is>
          <t>under 4 team corners</t>
        </is>
      </c>
      <c r="H101" s="12" t="n">
        <v>5</v>
      </c>
      <c r="I101" s="12" t="n">
        <v>5</v>
      </c>
      <c r="J101" s="12" t="inlineStr">
        <is>
          <t>3/3</t>
        </is>
      </c>
      <c r="K101" s="13" t="n">
        <v>3</v>
      </c>
      <c r="L101" s="14" t="n">
        <v>4.1</v>
      </c>
      <c r="M101" s="15">
        <f>IFERROR((EXP(GAMMALN(0+'Read me'!$B$6)-GAMMALN('Read me'!$B$6)-GAMMALN(0+1)+'Read me'!$B$6*LN('Read me'!$B$6/('Read me'!$B$6+L101))+0*LN(L101/('Read me'!$B$6+L101)))+EXP(GAMMALN(1+'Read me'!$B$6)-GAMMALN('Read me'!$B$6)-GAMMALN(1+1)+'Read me'!$B$6*LN('Read me'!$B$6/('Read me'!$B$6+L101))+1*LN(L101/('Read me'!$B$6+L101)))+EXP(GAMMALN(2+'Read me'!$B$6)-GAMMALN('Read me'!$B$6)-GAMMALN(2+1)+'Read me'!$B$6*LN('Read me'!$B$6/('Read me'!$B$6+L101))+2*LN(L101/('Read me'!$B$6+L101)))+EXP(GAMMALN(3+'Read me'!$B$6)-GAMMALN('Read me'!$B$6)-GAMMALN(3+1)+'Read me'!$B$6*LN('Read me'!$B$6/('Read me'!$B$6+L101))+3*LN(L101/('Read me'!$B$6+L101)))),"")</f>
        <v/>
      </c>
      <c r="N101" s="16">
        <f>IFERROR(EXP(GAMMALN(4+'Read me'!$B$6)-GAMMALN('Read me'!$B$6)-GAMMALN(4+1)+'Read me'!$B$6*LN('Read me'!$B$6/('Read me'!$B$6+L101))+4*LN(L101/('Read me'!$B$6+L101))),"")</f>
        <v/>
      </c>
      <c r="O101" s="17">
        <f>IFERROR((1-N101)/M101,"")</f>
        <v/>
      </c>
      <c r="P101" s="18" t="n"/>
      <c r="Q101" s="19">
        <f>IF(P101="","",P101*M101+N101-1)</f>
        <v/>
      </c>
      <c r="R101" s="20">
        <f>IF(Q101="","awaiting price",IF(Q101&gt;='Read me'!$B$7,"BET",IF(Q101&gt;=0,"thin","no bet")))</f>
        <v/>
      </c>
    </row>
    <row r="102">
      <c r="A102" s="11" t="n">
        <v>46300</v>
      </c>
      <c r="B102" s="12" t="inlineStr">
        <is>
          <t>Argentina Liga Profesional</t>
        </is>
      </c>
      <c r="C102" s="12" t="inlineStr">
        <is>
          <t>Estudiantes de Rio Cuarto v Racing Club</t>
        </is>
      </c>
      <c r="D102" s="12" t="inlineStr">
        <is>
          <t>Racing Club</t>
        </is>
      </c>
      <c r="E102" s="12" t="inlineStr">
        <is>
          <t>Away</t>
        </is>
      </c>
      <c r="F102" s="12" t="inlineStr">
        <is>
          <t>Match under</t>
        </is>
      </c>
      <c r="G102" s="12" t="inlineStr">
        <is>
          <t>under 9 match corners</t>
        </is>
      </c>
      <c r="H102" s="12" t="n">
        <v>5</v>
      </c>
      <c r="I102" s="12" t="n">
        <v>7</v>
      </c>
      <c r="J102" s="12" t="inlineStr">
        <is>
          <t>4/4</t>
        </is>
      </c>
      <c r="K102" s="13" t="n">
        <v>6.6</v>
      </c>
      <c r="L102" s="14" t="n">
        <v>8.5</v>
      </c>
      <c r="M102" s="15">
        <f>IFERROR(POISSON(9-1,L102,TRUE),"")</f>
        <v/>
      </c>
      <c r="N102" s="16">
        <f>IFERROR(POISSON(9,L102,FALSE),"")</f>
        <v/>
      </c>
      <c r="O102" s="17">
        <f>IFERROR((1-N102)/M102,"")</f>
        <v/>
      </c>
      <c r="P102" s="18" t="n"/>
      <c r="Q102" s="19">
        <f>IF(P102="","",P102*M102+N102-1)</f>
        <v/>
      </c>
      <c r="R102" s="20">
        <f>IF(Q102="","awaiting price",IF(Q102&gt;='Read me'!$B$7,"BET",IF(Q102&gt;=0,"thin","no bet")))</f>
        <v/>
      </c>
    </row>
    <row r="103">
      <c r="A103" s="11" t="n">
        <v>46300</v>
      </c>
      <c r="B103" s="12" t="inlineStr">
        <is>
          <t>Argentina Liga Profesional</t>
        </is>
      </c>
      <c r="C103" s="12" t="inlineStr">
        <is>
          <t>Estudiantes L.P. v Gimnasia M.</t>
        </is>
      </c>
      <c r="D103" s="12" t="inlineStr">
        <is>
          <t>Gimnasia M.</t>
        </is>
      </c>
      <c r="E103" s="12" t="inlineStr">
        <is>
          <t>Away</t>
        </is>
      </c>
      <c r="F103" s="12" t="inlineStr">
        <is>
          <t>Match under</t>
        </is>
      </c>
      <c r="G103" s="12" t="inlineStr">
        <is>
          <t>under 11 match corners</t>
        </is>
      </c>
      <c r="H103" s="12" t="n">
        <v>5</v>
      </c>
      <c r="I103" s="12" t="n">
        <v>5</v>
      </c>
      <c r="J103" s="12" t="inlineStr">
        <is>
          <t>3/3</t>
        </is>
      </c>
      <c r="K103" s="13" t="n">
        <v>6.6</v>
      </c>
      <c r="L103" s="14" t="n">
        <v>7.85</v>
      </c>
      <c r="M103" s="15">
        <f>IFERROR(POISSON(11-1,L103,TRUE),"")</f>
        <v/>
      </c>
      <c r="N103" s="16">
        <f>IFERROR(POISSON(11,L103,FALSE),"")</f>
        <v/>
      </c>
      <c r="O103" s="17">
        <f>IFERROR((1-N103)/M103,"")</f>
        <v/>
      </c>
      <c r="P103" s="18" t="n"/>
      <c r="Q103" s="19">
        <f>IF(P103="","",P103*M103+N103-1)</f>
        <v/>
      </c>
      <c r="R103" s="20">
        <f>IF(Q103="","awaiting price",IF(Q103&gt;='Read me'!$B$7,"BET",IF(Q103&gt;=0,"thin","no bet")))</f>
        <v/>
      </c>
    </row>
    <row r="104">
      <c r="A104" s="11" t="n">
        <v>46301</v>
      </c>
      <c r="B104" s="12" t="inlineStr">
        <is>
          <t>Argentina Liga Profesional</t>
        </is>
      </c>
      <c r="C104" s="12" t="inlineStr">
        <is>
          <t>Banfield v Rosario Central</t>
        </is>
      </c>
      <c r="D104" s="12" t="inlineStr">
        <is>
          <t>Rosario Central</t>
        </is>
      </c>
      <c r="E104" s="12" t="inlineStr">
        <is>
          <t>Away</t>
        </is>
      </c>
      <c r="F104" s="12" t="inlineStr">
        <is>
          <t>Team over</t>
        </is>
      </c>
      <c r="G104" s="12" t="inlineStr">
        <is>
          <t>4+ team corners</t>
        </is>
      </c>
      <c r="H104" s="12" t="n">
        <v>5</v>
      </c>
      <c r="I104" s="12" t="n">
        <v>5</v>
      </c>
      <c r="J104" s="12" t="inlineStr">
        <is>
          <t>5/5</t>
        </is>
      </c>
      <c r="K104" s="13" t="n">
        <v>7.8</v>
      </c>
      <c r="L104" s="14" t="n">
        <v>3.64</v>
      </c>
      <c r="M104" s="15">
        <f>IFERROR(1-(EXP(GAMMALN(0+'Read me'!$B$6)-GAMMALN('Read me'!$B$6)-GAMMALN(0+1)+'Read me'!$B$6*LN('Read me'!$B$6/('Read me'!$B$6+L104))+0*LN(L104/('Read me'!$B$6+L104)))+EXP(GAMMALN(1+'Read me'!$B$6)-GAMMALN('Read me'!$B$6)-GAMMALN(1+1)+'Read me'!$B$6*LN('Read me'!$B$6/('Read me'!$B$6+L104))+1*LN(L104/('Read me'!$B$6+L104)))+EXP(GAMMALN(2+'Read me'!$B$6)-GAMMALN('Read me'!$B$6)-GAMMALN(2+1)+'Read me'!$B$6*LN('Read me'!$B$6/('Read me'!$B$6+L104))+2*LN(L104/('Read me'!$B$6+L104)))+EXP(GAMMALN(3+'Read me'!$B$6)-GAMMALN('Read me'!$B$6)-GAMMALN(3+1)+'Read me'!$B$6*LN('Read me'!$B$6/('Read me'!$B$6+L104))+3*LN(L104/('Read me'!$B$6+L104)))),"")</f>
        <v/>
      </c>
      <c r="N104" s="16" t="n">
        <v>0</v>
      </c>
      <c r="O104" s="17">
        <f>IFERROR(1/M104,"")</f>
        <v/>
      </c>
      <c r="P104" s="18" t="n"/>
      <c r="Q104" s="19">
        <f>IF(P104="","",P104*M104-1)</f>
        <v/>
      </c>
      <c r="R104" s="20">
        <f>IF(Q104="","awaiting price",IF(Q104&gt;='Read me'!$B$7,"BET",IF(Q104&gt;=0,"thin","no bet")))</f>
        <v/>
      </c>
    </row>
    <row r="105">
      <c r="A105" s="11" t="n">
        <v>46302</v>
      </c>
      <c r="B105" s="12" t="inlineStr">
        <is>
          <t>USA MLS</t>
        </is>
      </c>
      <c r="C105" s="12" t="inlineStr">
        <is>
          <t>Chicago Fire v Vancouver Whitecaps</t>
        </is>
      </c>
      <c r="D105" s="12" t="inlineStr">
        <is>
          <t>Vancouver Whitecaps</t>
        </is>
      </c>
      <c r="E105" s="12" t="inlineStr">
        <is>
          <t>Away</t>
        </is>
      </c>
      <c r="F105" s="12" t="inlineStr">
        <is>
          <t>Team over</t>
        </is>
      </c>
      <c r="G105" s="12" t="inlineStr">
        <is>
          <t>6+ team corners</t>
        </is>
      </c>
      <c r="H105" s="12" t="n">
        <v>5</v>
      </c>
      <c r="I105" s="12" t="n">
        <v>5</v>
      </c>
      <c r="J105" s="12" t="inlineStr">
        <is>
          <t>5/5</t>
        </is>
      </c>
      <c r="K105" s="13" t="n">
        <v>6.6</v>
      </c>
      <c r="L105" s="14" t="n">
        <v>3.94</v>
      </c>
      <c r="M105" s="15">
        <f>IFERROR(1-(EXP(GAMMALN(0+'Read me'!$B$6)-GAMMALN('Read me'!$B$6)-GAMMALN(0+1)+'Read me'!$B$6*LN('Read me'!$B$6/('Read me'!$B$6+L105))+0*LN(L105/('Read me'!$B$6+L105)))+EXP(GAMMALN(1+'Read me'!$B$6)-GAMMALN('Read me'!$B$6)-GAMMALN(1+1)+'Read me'!$B$6*LN('Read me'!$B$6/('Read me'!$B$6+L105))+1*LN(L105/('Read me'!$B$6+L105)))+EXP(GAMMALN(2+'Read me'!$B$6)-GAMMALN('Read me'!$B$6)-GAMMALN(2+1)+'Read me'!$B$6*LN('Read me'!$B$6/('Read me'!$B$6+L105))+2*LN(L105/('Read me'!$B$6+L105)))+EXP(GAMMALN(3+'Read me'!$B$6)-GAMMALN('Read me'!$B$6)-GAMMALN(3+1)+'Read me'!$B$6*LN('Read me'!$B$6/('Read me'!$B$6+L105))+3*LN(L105/('Read me'!$B$6+L105)))+EXP(GAMMALN(4+'Read me'!$B$6)-GAMMALN('Read me'!$B$6)-GAMMALN(4+1)+'Read me'!$B$6*LN('Read me'!$B$6/('Read me'!$B$6+L105))+4*LN(L105/('Read me'!$B$6+L105)))+EXP(GAMMALN(5+'Read me'!$B$6)-GAMMALN('Read me'!$B$6)-GAMMALN(5+1)+'Read me'!$B$6*LN('Read me'!$B$6/('Read me'!$B$6+L105))+5*LN(L105/('Read me'!$B$6+L105)))),"")</f>
        <v/>
      </c>
      <c r="N105" s="16" t="n">
        <v>0</v>
      </c>
      <c r="O105" s="17">
        <f>IFERROR(1/M105,"")</f>
        <v/>
      </c>
      <c r="P105" s="18" t="n"/>
      <c r="Q105" s="19">
        <f>IF(P105="","",P105*M105-1)</f>
        <v/>
      </c>
      <c r="R105" s="20">
        <f>IF(Q105="","awaiting price",IF(Q105&gt;='Read me'!$B$7,"BET",IF(Q105&gt;=0,"thin","no bet")))</f>
        <v/>
      </c>
    </row>
    <row r="106">
      <c r="A106" s="11" t="n">
        <v>46302</v>
      </c>
      <c r="B106" s="12" t="inlineStr">
        <is>
          <t>Brazil Série A</t>
        </is>
      </c>
      <c r="C106" s="12" t="inlineStr">
        <is>
          <t>RB Bragantino v Mirassol</t>
        </is>
      </c>
      <c r="D106" s="12" t="inlineStr">
        <is>
          <t>Mirassol</t>
        </is>
      </c>
      <c r="E106" s="12" t="inlineStr">
        <is>
          <t>Away</t>
        </is>
      </c>
      <c r="F106" s="12" t="inlineStr">
        <is>
          <t>Team over</t>
        </is>
      </c>
      <c r="G106" s="12" t="inlineStr">
        <is>
          <t>3+ team corners</t>
        </is>
      </c>
      <c r="H106" s="12" t="n">
        <v>5</v>
      </c>
      <c r="I106" s="12" t="n">
        <v>7</v>
      </c>
      <c r="J106" s="12" t="inlineStr">
        <is>
          <t>5/5</t>
        </is>
      </c>
      <c r="K106" s="13" t="n">
        <v>6.4</v>
      </c>
      <c r="L106" s="14" t="n">
        <v>4.01</v>
      </c>
      <c r="M106" s="15">
        <f>IFERROR(1-(EXP(GAMMALN(0+'Read me'!$B$6)-GAMMALN('Read me'!$B$6)-GAMMALN(0+1)+'Read me'!$B$6*LN('Read me'!$B$6/('Read me'!$B$6+L106))+0*LN(L106/('Read me'!$B$6+L106)))+EXP(GAMMALN(1+'Read me'!$B$6)-GAMMALN('Read me'!$B$6)-GAMMALN(1+1)+'Read me'!$B$6*LN('Read me'!$B$6/('Read me'!$B$6+L106))+1*LN(L106/('Read me'!$B$6+L106)))+EXP(GAMMALN(2+'Read me'!$B$6)-GAMMALN('Read me'!$B$6)-GAMMALN(2+1)+'Read me'!$B$6*LN('Read me'!$B$6/('Read me'!$B$6+L106))+2*LN(L106/('Read me'!$B$6+L106)))),"")</f>
        <v/>
      </c>
      <c r="N106" s="16" t="n">
        <v>0</v>
      </c>
      <c r="O106" s="17">
        <f>IFERROR(1/M106,"")</f>
        <v/>
      </c>
      <c r="P106" s="18" t="n"/>
      <c r="Q106" s="19">
        <f>IF(P106="","",P106*M106-1)</f>
        <v/>
      </c>
      <c r="R106" s="20">
        <f>IF(Q106="","awaiting price",IF(Q106&gt;='Read me'!$B$7,"BET",IF(Q106&gt;=0,"thin","no bet")))</f>
        <v/>
      </c>
    </row>
    <row r="107">
      <c r="A107" s="11" t="n">
        <v>46296</v>
      </c>
      <c r="B107" s="12" t="inlineStr">
        <is>
          <t>Brazil Série B</t>
        </is>
      </c>
      <c r="C107" s="12" t="inlineStr">
        <is>
          <t>Athletic Club v Sport Recife</t>
        </is>
      </c>
      <c r="D107" s="12" t="inlineStr">
        <is>
          <t>Athletic Club</t>
        </is>
      </c>
      <c r="E107" s="12" t="inlineStr">
        <is>
          <t>Home</t>
        </is>
      </c>
      <c r="F107" s="12" t="inlineStr">
        <is>
          <t>Match under</t>
        </is>
      </c>
      <c r="G107" s="12" t="inlineStr">
        <is>
          <t>under 8 match corners</t>
        </is>
      </c>
      <c r="H107" s="12" t="n">
        <v>4</v>
      </c>
      <c r="I107" s="12" t="n">
        <v>4</v>
      </c>
      <c r="J107" s="12" t="inlineStr">
        <is>
          <t>4/4</t>
        </is>
      </c>
      <c r="K107" s="13" t="n">
        <v>6.2</v>
      </c>
      <c r="L107" s="14" t="n">
        <v>11.37</v>
      </c>
      <c r="M107" s="15">
        <f>IFERROR(POISSON(8-1,L107,TRUE),"")</f>
        <v/>
      </c>
      <c r="N107" s="16">
        <f>IFERROR(POISSON(8,L107,FALSE),"")</f>
        <v/>
      </c>
      <c r="O107" s="17">
        <f>IFERROR((1-N107)/M107,"")</f>
        <v/>
      </c>
      <c r="P107" s="18" t="n"/>
      <c r="Q107" s="19">
        <f>IF(P107="","",P107*M107+N107-1)</f>
        <v/>
      </c>
      <c r="R107" s="20">
        <f>IF(Q107="","awaiting price",IF(Q107&gt;='Read me'!$B$7,"BET",IF(Q107&gt;=0,"thin","no bet")))</f>
        <v/>
      </c>
    </row>
    <row r="108">
      <c r="A108" s="11" t="n">
        <v>46297</v>
      </c>
      <c r="B108" s="12" t="inlineStr">
        <is>
          <t>Brazil Série B</t>
        </is>
      </c>
      <c r="C108" s="12" t="inlineStr">
        <is>
          <t>São Bernardo v CRB</t>
        </is>
      </c>
      <c r="D108" s="12" t="inlineStr">
        <is>
          <t>São Bernardo</t>
        </is>
      </c>
      <c r="E108" s="12" t="inlineStr">
        <is>
          <t>Home</t>
        </is>
      </c>
      <c r="F108" s="12" t="inlineStr">
        <is>
          <t>Match under</t>
        </is>
      </c>
      <c r="G108" s="12" t="inlineStr">
        <is>
          <t>under 12 match corners</t>
        </is>
      </c>
      <c r="H108" s="12" t="n">
        <v>4</v>
      </c>
      <c r="I108" s="12" t="n">
        <v>4</v>
      </c>
      <c r="J108" s="12" t="inlineStr">
        <is>
          <t>4/4</t>
        </is>
      </c>
      <c r="K108" s="13" t="n">
        <v>10.4</v>
      </c>
      <c r="L108" s="14" t="n">
        <v>11.91</v>
      </c>
      <c r="M108" s="15">
        <f>IFERROR(POISSON(12-1,L108,TRUE),"")</f>
        <v/>
      </c>
      <c r="N108" s="16">
        <f>IFERROR(POISSON(12,L108,FALSE),"")</f>
        <v/>
      </c>
      <c r="O108" s="17">
        <f>IFERROR((1-N108)/M108,"")</f>
        <v/>
      </c>
      <c r="P108" s="18" t="n"/>
      <c r="Q108" s="19">
        <f>IF(P108="","",P108*M108+N108-1)</f>
        <v/>
      </c>
      <c r="R108" s="20">
        <f>IF(Q108="","awaiting price",IF(Q108&gt;='Read me'!$B$7,"BET",IF(Q108&gt;=0,"thin","no bet")))</f>
        <v/>
      </c>
    </row>
    <row r="109">
      <c r="A109" s="11" t="n">
        <v>46298</v>
      </c>
      <c r="B109" s="12" t="inlineStr">
        <is>
          <t>Brazil Série B</t>
        </is>
      </c>
      <c r="C109" s="12" t="inlineStr">
        <is>
          <t>Cuiaba v Ponte Preta</t>
        </is>
      </c>
      <c r="D109" s="12" t="inlineStr">
        <is>
          <t>Ponte Preta</t>
        </is>
      </c>
      <c r="E109" s="12" t="inlineStr">
        <is>
          <t>Away</t>
        </is>
      </c>
      <c r="F109" s="12" t="inlineStr">
        <is>
          <t>Team under</t>
        </is>
      </c>
      <c r="G109" s="12" t="inlineStr">
        <is>
          <t>under 3 team corners</t>
        </is>
      </c>
      <c r="H109" s="12" t="n">
        <v>4</v>
      </c>
      <c r="I109" s="12" t="n">
        <v>4</v>
      </c>
      <c r="J109" s="12" t="inlineStr">
        <is>
          <t>3/3</t>
        </is>
      </c>
      <c r="K109" s="13" t="n">
        <v>2</v>
      </c>
      <c r="L109" s="14" t="n">
        <v>2.98</v>
      </c>
      <c r="M109" s="15">
        <f>IFERROR((EXP(GAMMALN(0+'Read me'!$B$6)-GAMMALN('Read me'!$B$6)-GAMMALN(0+1)+'Read me'!$B$6*LN('Read me'!$B$6/('Read me'!$B$6+L109))+0*LN(L109/('Read me'!$B$6+L109)))+EXP(GAMMALN(1+'Read me'!$B$6)-GAMMALN('Read me'!$B$6)-GAMMALN(1+1)+'Read me'!$B$6*LN('Read me'!$B$6/('Read me'!$B$6+L109))+1*LN(L109/('Read me'!$B$6+L109)))+EXP(GAMMALN(2+'Read me'!$B$6)-GAMMALN('Read me'!$B$6)-GAMMALN(2+1)+'Read me'!$B$6*LN('Read me'!$B$6/('Read me'!$B$6+L109))+2*LN(L109/('Read me'!$B$6+L109)))),"")</f>
        <v/>
      </c>
      <c r="N109" s="16">
        <f>IFERROR(EXP(GAMMALN(3+'Read me'!$B$6)-GAMMALN('Read me'!$B$6)-GAMMALN(3+1)+'Read me'!$B$6*LN('Read me'!$B$6/('Read me'!$B$6+L109))+3*LN(L109/('Read me'!$B$6+L109))),"")</f>
        <v/>
      </c>
      <c r="O109" s="17">
        <f>IFERROR((1-N109)/M109,"")</f>
        <v/>
      </c>
      <c r="P109" s="18" t="n"/>
      <c r="Q109" s="19">
        <f>IF(P109="","",P109*M109+N109-1)</f>
        <v/>
      </c>
      <c r="R109" s="20">
        <f>IF(Q109="","awaiting price",IF(Q109&gt;='Read me'!$B$7,"BET",IF(Q109&gt;=0,"thin","no bet")))</f>
        <v/>
      </c>
    </row>
    <row r="110">
      <c r="A110" s="11" t="n">
        <v>46298</v>
      </c>
      <c r="B110" s="12" t="inlineStr">
        <is>
          <t>Brazil Série B</t>
        </is>
      </c>
      <c r="C110" s="12" t="inlineStr">
        <is>
          <t>Avai v Ceara</t>
        </is>
      </c>
      <c r="D110" s="12" t="inlineStr">
        <is>
          <t>Avai</t>
        </is>
      </c>
      <c r="E110" s="12" t="inlineStr">
        <is>
          <t>Home</t>
        </is>
      </c>
      <c r="F110" s="12" t="inlineStr">
        <is>
          <t>Team under</t>
        </is>
      </c>
      <c r="G110" s="12" t="inlineStr">
        <is>
          <t>under 4 team corners</t>
        </is>
      </c>
      <c r="H110" s="12" t="n">
        <v>4</v>
      </c>
      <c r="I110" s="12" t="n">
        <v>5</v>
      </c>
      <c r="J110" s="12" t="inlineStr">
        <is>
          <t>4/4</t>
        </is>
      </c>
      <c r="K110" s="13" t="n">
        <v>2.6</v>
      </c>
      <c r="L110" s="14" t="n">
        <v>5.36</v>
      </c>
      <c r="M110" s="15">
        <f>IFERROR((EXP(GAMMALN(0+'Read me'!$B$6)-GAMMALN('Read me'!$B$6)-GAMMALN(0+1)+'Read me'!$B$6*LN('Read me'!$B$6/('Read me'!$B$6+L110))+0*LN(L110/('Read me'!$B$6+L110)))+EXP(GAMMALN(1+'Read me'!$B$6)-GAMMALN('Read me'!$B$6)-GAMMALN(1+1)+'Read me'!$B$6*LN('Read me'!$B$6/('Read me'!$B$6+L110))+1*LN(L110/('Read me'!$B$6+L110)))+EXP(GAMMALN(2+'Read me'!$B$6)-GAMMALN('Read me'!$B$6)-GAMMALN(2+1)+'Read me'!$B$6*LN('Read me'!$B$6/('Read me'!$B$6+L110))+2*LN(L110/('Read me'!$B$6+L110)))+EXP(GAMMALN(3+'Read me'!$B$6)-GAMMALN('Read me'!$B$6)-GAMMALN(3+1)+'Read me'!$B$6*LN('Read me'!$B$6/('Read me'!$B$6+L110))+3*LN(L110/('Read me'!$B$6+L110)))),"")</f>
        <v/>
      </c>
      <c r="N110" s="16">
        <f>IFERROR(EXP(GAMMALN(4+'Read me'!$B$6)-GAMMALN('Read me'!$B$6)-GAMMALN(4+1)+'Read me'!$B$6*LN('Read me'!$B$6/('Read me'!$B$6+L110))+4*LN(L110/('Read me'!$B$6+L110))),"")</f>
        <v/>
      </c>
      <c r="O110" s="17">
        <f>IFERROR((1-N110)/M110,"")</f>
        <v/>
      </c>
      <c r="P110" s="18" t="n"/>
      <c r="Q110" s="19">
        <f>IF(P110="","",P110*M110+N110-1)</f>
        <v/>
      </c>
      <c r="R110" s="20">
        <f>IF(Q110="","awaiting price",IF(Q110&gt;='Read me'!$B$7,"BET",IF(Q110&gt;=0,"thin","no bet")))</f>
        <v/>
      </c>
    </row>
    <row r="111">
      <c r="A111" s="11" t="n">
        <v>46298</v>
      </c>
      <c r="B111" s="12" t="inlineStr">
        <is>
          <t>Brazil Série B</t>
        </is>
      </c>
      <c r="C111" s="12" t="inlineStr">
        <is>
          <t>Fortaleza EC v Nautico Recife</t>
        </is>
      </c>
      <c r="D111" s="12" t="inlineStr">
        <is>
          <t>Fortaleza EC</t>
        </is>
      </c>
      <c r="E111" s="12" t="inlineStr">
        <is>
          <t>Home</t>
        </is>
      </c>
      <c r="F111" s="12" t="inlineStr">
        <is>
          <t>Team under</t>
        </is>
      </c>
      <c r="G111" s="12" t="inlineStr">
        <is>
          <t>under 5 team corners</t>
        </is>
      </c>
      <c r="H111" s="12" t="n">
        <v>4</v>
      </c>
      <c r="I111" s="12" t="n">
        <v>4</v>
      </c>
      <c r="J111" s="12" t="inlineStr">
        <is>
          <t>4/4</t>
        </is>
      </c>
      <c r="K111" s="13" t="n">
        <v>3.2</v>
      </c>
      <c r="L111" s="14" t="n">
        <v>6.16</v>
      </c>
      <c r="M111" s="15">
        <f>IFERROR((EXP(GAMMALN(0+'Read me'!$B$6)-GAMMALN('Read me'!$B$6)-GAMMALN(0+1)+'Read me'!$B$6*LN('Read me'!$B$6/('Read me'!$B$6+L111))+0*LN(L111/('Read me'!$B$6+L111)))+EXP(GAMMALN(1+'Read me'!$B$6)-GAMMALN('Read me'!$B$6)-GAMMALN(1+1)+'Read me'!$B$6*LN('Read me'!$B$6/('Read me'!$B$6+L111))+1*LN(L111/('Read me'!$B$6+L111)))+EXP(GAMMALN(2+'Read me'!$B$6)-GAMMALN('Read me'!$B$6)-GAMMALN(2+1)+'Read me'!$B$6*LN('Read me'!$B$6/('Read me'!$B$6+L111))+2*LN(L111/('Read me'!$B$6+L111)))+EXP(GAMMALN(3+'Read me'!$B$6)-GAMMALN('Read me'!$B$6)-GAMMALN(3+1)+'Read me'!$B$6*LN('Read me'!$B$6/('Read me'!$B$6+L111))+3*LN(L111/('Read me'!$B$6+L111)))+EXP(GAMMALN(4+'Read me'!$B$6)-GAMMALN('Read me'!$B$6)-GAMMALN(4+1)+'Read me'!$B$6*LN('Read me'!$B$6/('Read me'!$B$6+L111))+4*LN(L111/('Read me'!$B$6+L111)))),"")</f>
        <v/>
      </c>
      <c r="N111" s="16">
        <f>IFERROR(EXP(GAMMALN(5+'Read me'!$B$6)-GAMMALN('Read me'!$B$6)-GAMMALN(5+1)+'Read me'!$B$6*LN('Read me'!$B$6/('Read me'!$B$6+L111))+5*LN(L111/('Read me'!$B$6+L111))),"")</f>
        <v/>
      </c>
      <c r="O111" s="17">
        <f>IFERROR((1-N111)/M111,"")</f>
        <v/>
      </c>
      <c r="P111" s="18" t="n"/>
      <c r="Q111" s="19">
        <f>IF(P111="","",P111*M111+N111-1)</f>
        <v/>
      </c>
      <c r="R111" s="20">
        <f>IF(Q111="","awaiting price",IF(Q111&gt;='Read me'!$B$7,"BET",IF(Q111&gt;=0,"thin","no bet")))</f>
        <v/>
      </c>
    </row>
    <row r="112">
      <c r="A112" s="11" t="n">
        <v>46298</v>
      </c>
      <c r="B112" s="12" t="inlineStr">
        <is>
          <t>Argentina Liga Profesional</t>
        </is>
      </c>
      <c r="C112" s="12" t="inlineStr">
        <is>
          <t>Defensa Y Justicia v San Lorenzo</t>
        </is>
      </c>
      <c r="D112" s="12" t="inlineStr">
        <is>
          <t>Defensa Y Justicia</t>
        </is>
      </c>
      <c r="E112" s="12" t="inlineStr">
        <is>
          <t>Home</t>
        </is>
      </c>
      <c r="F112" s="12" t="inlineStr">
        <is>
          <t>Team under</t>
        </is>
      </c>
      <c r="G112" s="12" t="inlineStr">
        <is>
          <t>under 6 team corners</t>
        </is>
      </c>
      <c r="H112" s="12" t="n">
        <v>4</v>
      </c>
      <c r="I112" s="12" t="n">
        <v>4</v>
      </c>
      <c r="J112" s="12" t="inlineStr">
        <is>
          <t>4/4</t>
        </is>
      </c>
      <c r="K112" s="13" t="n">
        <v>3.2</v>
      </c>
      <c r="L112" s="14" t="n">
        <v>5.21</v>
      </c>
      <c r="M112" s="15">
        <f>IFERROR((EXP(GAMMALN(0+'Read me'!$B$6)-GAMMALN('Read me'!$B$6)-GAMMALN(0+1)+'Read me'!$B$6*LN('Read me'!$B$6/('Read me'!$B$6+L112))+0*LN(L112/('Read me'!$B$6+L112)))+EXP(GAMMALN(1+'Read me'!$B$6)-GAMMALN('Read me'!$B$6)-GAMMALN(1+1)+'Read me'!$B$6*LN('Read me'!$B$6/('Read me'!$B$6+L112))+1*LN(L112/('Read me'!$B$6+L112)))+EXP(GAMMALN(2+'Read me'!$B$6)-GAMMALN('Read me'!$B$6)-GAMMALN(2+1)+'Read me'!$B$6*LN('Read me'!$B$6/('Read me'!$B$6+L112))+2*LN(L112/('Read me'!$B$6+L112)))+EXP(GAMMALN(3+'Read me'!$B$6)-GAMMALN('Read me'!$B$6)-GAMMALN(3+1)+'Read me'!$B$6*LN('Read me'!$B$6/('Read me'!$B$6+L112))+3*LN(L112/('Read me'!$B$6+L112)))+EXP(GAMMALN(4+'Read me'!$B$6)-GAMMALN('Read me'!$B$6)-GAMMALN(4+1)+'Read me'!$B$6*LN('Read me'!$B$6/('Read me'!$B$6+L112))+4*LN(L112/('Read me'!$B$6+L112)))+EXP(GAMMALN(5+'Read me'!$B$6)-GAMMALN('Read me'!$B$6)-GAMMALN(5+1)+'Read me'!$B$6*LN('Read me'!$B$6/('Read me'!$B$6+L112))+5*LN(L112/('Read me'!$B$6+L112)))),"")</f>
        <v/>
      </c>
      <c r="N112" s="16">
        <f>IFERROR(EXP(GAMMALN(6+'Read me'!$B$6)-GAMMALN('Read me'!$B$6)-GAMMALN(6+1)+'Read me'!$B$6*LN('Read me'!$B$6/('Read me'!$B$6+L112))+6*LN(L112/('Read me'!$B$6+L112))),"")</f>
        <v/>
      </c>
      <c r="O112" s="17">
        <f>IFERROR((1-N112)/M112,"")</f>
        <v/>
      </c>
      <c r="P112" s="18" t="n"/>
      <c r="Q112" s="19">
        <f>IF(P112="","",P112*M112+N112-1)</f>
        <v/>
      </c>
      <c r="R112" s="20">
        <f>IF(Q112="","awaiting price",IF(Q112&gt;='Read me'!$B$7,"BET",IF(Q112&gt;=0,"thin","no bet")))</f>
        <v/>
      </c>
    </row>
    <row r="113">
      <c r="A113" s="11" t="n">
        <v>46298</v>
      </c>
      <c r="B113" s="12" t="inlineStr">
        <is>
          <t>Netherlands Eerste Divisie</t>
        </is>
      </c>
      <c r="C113" s="12" t="inlineStr">
        <is>
          <t>Den Bosch v Dordrecht</t>
        </is>
      </c>
      <c r="D113" s="12" t="inlineStr">
        <is>
          <t>Dordrecht</t>
        </is>
      </c>
      <c r="E113" s="12" t="inlineStr">
        <is>
          <t>Away</t>
        </is>
      </c>
      <c r="F113" s="12" t="inlineStr">
        <is>
          <t>Team under</t>
        </is>
      </c>
      <c r="G113" s="12" t="inlineStr">
        <is>
          <t>under 6 team corners</t>
        </is>
      </c>
      <c r="H113" s="12" t="n">
        <v>4</v>
      </c>
      <c r="I113" s="12" t="n">
        <v>4</v>
      </c>
      <c r="J113" s="12" t="inlineStr">
        <is>
          <t>4/4</t>
        </is>
      </c>
      <c r="K113" s="13" t="n">
        <v>4</v>
      </c>
      <c r="L113" s="14" t="n">
        <v>4.94</v>
      </c>
      <c r="M113" s="15">
        <f>IFERROR((EXP(GAMMALN(0+'Read me'!$B$6)-GAMMALN('Read me'!$B$6)-GAMMALN(0+1)+'Read me'!$B$6*LN('Read me'!$B$6/('Read me'!$B$6+L113))+0*LN(L113/('Read me'!$B$6+L113)))+EXP(GAMMALN(1+'Read me'!$B$6)-GAMMALN('Read me'!$B$6)-GAMMALN(1+1)+'Read me'!$B$6*LN('Read me'!$B$6/('Read me'!$B$6+L113))+1*LN(L113/('Read me'!$B$6+L113)))+EXP(GAMMALN(2+'Read me'!$B$6)-GAMMALN('Read me'!$B$6)-GAMMALN(2+1)+'Read me'!$B$6*LN('Read me'!$B$6/('Read me'!$B$6+L113))+2*LN(L113/('Read me'!$B$6+L113)))+EXP(GAMMALN(3+'Read me'!$B$6)-GAMMALN('Read me'!$B$6)-GAMMALN(3+1)+'Read me'!$B$6*LN('Read me'!$B$6/('Read me'!$B$6+L113))+3*LN(L113/('Read me'!$B$6+L113)))+EXP(GAMMALN(4+'Read me'!$B$6)-GAMMALN('Read me'!$B$6)-GAMMALN(4+1)+'Read me'!$B$6*LN('Read me'!$B$6/('Read me'!$B$6+L113))+4*LN(L113/('Read me'!$B$6+L113)))+EXP(GAMMALN(5+'Read me'!$B$6)-GAMMALN('Read me'!$B$6)-GAMMALN(5+1)+'Read me'!$B$6*LN('Read me'!$B$6/('Read me'!$B$6+L113))+5*LN(L113/('Read me'!$B$6+L113)))),"")</f>
        <v/>
      </c>
      <c r="N113" s="16">
        <f>IFERROR(EXP(GAMMALN(6+'Read me'!$B$6)-GAMMALN('Read me'!$B$6)-GAMMALN(6+1)+'Read me'!$B$6*LN('Read me'!$B$6/('Read me'!$B$6+L113))+6*LN(L113/('Read me'!$B$6+L113))),"")</f>
        <v/>
      </c>
      <c r="O113" s="17">
        <f>IFERROR((1-N113)/M113,"")</f>
        <v/>
      </c>
      <c r="P113" s="18" t="n"/>
      <c r="Q113" s="19">
        <f>IF(P113="","",P113*M113+N113-1)</f>
        <v/>
      </c>
      <c r="R113" s="20">
        <f>IF(Q113="","awaiting price",IF(Q113&gt;='Read me'!$B$7,"BET",IF(Q113&gt;=0,"thin","no bet")))</f>
        <v/>
      </c>
    </row>
    <row r="114">
      <c r="A114" s="11" t="n">
        <v>46298</v>
      </c>
      <c r="B114" s="12" t="inlineStr">
        <is>
          <t>Argentina Liga Profesional</t>
        </is>
      </c>
      <c r="C114" s="12" t="inlineStr">
        <is>
          <t>Argentinos JRS v Tigre</t>
        </is>
      </c>
      <c r="D114" s="12" t="inlineStr">
        <is>
          <t>Tigre</t>
        </is>
      </c>
      <c r="E114" s="12" t="inlineStr">
        <is>
          <t>Away</t>
        </is>
      </c>
      <c r="F114" s="12" t="inlineStr">
        <is>
          <t>Team under</t>
        </is>
      </c>
      <c r="G114" s="12" t="inlineStr">
        <is>
          <t>under 7 team corners</t>
        </is>
      </c>
      <c r="H114" s="12" t="n">
        <v>4</v>
      </c>
      <c r="I114" s="12" t="n">
        <v>4</v>
      </c>
      <c r="J114" s="12" t="inlineStr">
        <is>
          <t>4/4</t>
        </is>
      </c>
      <c r="K114" s="13" t="n">
        <v>3.8</v>
      </c>
      <c r="L114" s="14" t="n">
        <v>3.86</v>
      </c>
      <c r="M114" s="15">
        <f>IFERROR((EXP(GAMMALN(0+'Read me'!$B$6)-GAMMALN('Read me'!$B$6)-GAMMALN(0+1)+'Read me'!$B$6*LN('Read me'!$B$6/('Read me'!$B$6+L114))+0*LN(L114/('Read me'!$B$6+L114)))+EXP(GAMMALN(1+'Read me'!$B$6)-GAMMALN('Read me'!$B$6)-GAMMALN(1+1)+'Read me'!$B$6*LN('Read me'!$B$6/('Read me'!$B$6+L114))+1*LN(L114/('Read me'!$B$6+L114)))+EXP(GAMMALN(2+'Read me'!$B$6)-GAMMALN('Read me'!$B$6)-GAMMALN(2+1)+'Read me'!$B$6*LN('Read me'!$B$6/('Read me'!$B$6+L114))+2*LN(L114/('Read me'!$B$6+L114)))+EXP(GAMMALN(3+'Read me'!$B$6)-GAMMALN('Read me'!$B$6)-GAMMALN(3+1)+'Read me'!$B$6*LN('Read me'!$B$6/('Read me'!$B$6+L114))+3*LN(L114/('Read me'!$B$6+L114)))+EXP(GAMMALN(4+'Read me'!$B$6)-GAMMALN('Read me'!$B$6)-GAMMALN(4+1)+'Read me'!$B$6*LN('Read me'!$B$6/('Read me'!$B$6+L114))+4*LN(L114/('Read me'!$B$6+L114)))+EXP(GAMMALN(5+'Read me'!$B$6)-GAMMALN('Read me'!$B$6)-GAMMALN(5+1)+'Read me'!$B$6*LN('Read me'!$B$6/('Read me'!$B$6+L114))+5*LN(L114/('Read me'!$B$6+L114)))+EXP(GAMMALN(6+'Read me'!$B$6)-GAMMALN('Read me'!$B$6)-GAMMALN(6+1)+'Read me'!$B$6*LN('Read me'!$B$6/('Read me'!$B$6+L114))+6*LN(L114/('Read me'!$B$6+L114)))),"")</f>
        <v/>
      </c>
      <c r="N114" s="16">
        <f>IFERROR(EXP(GAMMALN(7+'Read me'!$B$6)-GAMMALN('Read me'!$B$6)-GAMMALN(7+1)+'Read me'!$B$6*LN('Read me'!$B$6/('Read me'!$B$6+L114))+7*LN(L114/('Read me'!$B$6+L114))),"")</f>
        <v/>
      </c>
      <c r="O114" s="17">
        <f>IFERROR((1-N114)/M114,"")</f>
        <v/>
      </c>
      <c r="P114" s="18" t="n"/>
      <c r="Q114" s="19">
        <f>IF(P114="","",P114*M114+N114-1)</f>
        <v/>
      </c>
      <c r="R114" s="20">
        <f>IF(Q114="","awaiting price",IF(Q114&gt;='Read me'!$B$7,"BET",IF(Q114&gt;=0,"thin","no bet")))</f>
        <v/>
      </c>
    </row>
    <row r="115">
      <c r="A115" s="11" t="n">
        <v>46298</v>
      </c>
      <c r="B115" s="12" t="inlineStr">
        <is>
          <t>Argentina Liga Profesional</t>
        </is>
      </c>
      <c r="C115" s="12" t="inlineStr">
        <is>
          <t>Newells Old Boys v Lanus</t>
        </is>
      </c>
      <c r="D115" s="12" t="inlineStr">
        <is>
          <t>Lanus</t>
        </is>
      </c>
      <c r="E115" s="12" t="inlineStr">
        <is>
          <t>Away</t>
        </is>
      </c>
      <c r="F115" s="12" t="inlineStr">
        <is>
          <t>Team under</t>
        </is>
      </c>
      <c r="G115" s="12" t="inlineStr">
        <is>
          <t>under 7 team corners</t>
        </is>
      </c>
      <c r="H115" s="12" t="n">
        <v>4</v>
      </c>
      <c r="I115" s="12" t="n">
        <v>8</v>
      </c>
      <c r="J115" s="12" t="inlineStr">
        <is>
          <t>4/4</t>
        </is>
      </c>
      <c r="K115" s="13" t="n">
        <v>4</v>
      </c>
      <c r="L115" s="14" t="n">
        <v>3.36</v>
      </c>
      <c r="M115" s="15">
        <f>IFERROR((EXP(GAMMALN(0+'Read me'!$B$6)-GAMMALN('Read me'!$B$6)-GAMMALN(0+1)+'Read me'!$B$6*LN('Read me'!$B$6/('Read me'!$B$6+L115))+0*LN(L115/('Read me'!$B$6+L115)))+EXP(GAMMALN(1+'Read me'!$B$6)-GAMMALN('Read me'!$B$6)-GAMMALN(1+1)+'Read me'!$B$6*LN('Read me'!$B$6/('Read me'!$B$6+L115))+1*LN(L115/('Read me'!$B$6+L115)))+EXP(GAMMALN(2+'Read me'!$B$6)-GAMMALN('Read me'!$B$6)-GAMMALN(2+1)+'Read me'!$B$6*LN('Read me'!$B$6/('Read me'!$B$6+L115))+2*LN(L115/('Read me'!$B$6+L115)))+EXP(GAMMALN(3+'Read me'!$B$6)-GAMMALN('Read me'!$B$6)-GAMMALN(3+1)+'Read me'!$B$6*LN('Read me'!$B$6/('Read me'!$B$6+L115))+3*LN(L115/('Read me'!$B$6+L115)))+EXP(GAMMALN(4+'Read me'!$B$6)-GAMMALN('Read me'!$B$6)-GAMMALN(4+1)+'Read me'!$B$6*LN('Read me'!$B$6/('Read me'!$B$6+L115))+4*LN(L115/('Read me'!$B$6+L115)))+EXP(GAMMALN(5+'Read me'!$B$6)-GAMMALN('Read me'!$B$6)-GAMMALN(5+1)+'Read me'!$B$6*LN('Read me'!$B$6/('Read me'!$B$6+L115))+5*LN(L115/('Read me'!$B$6+L115)))+EXP(GAMMALN(6+'Read me'!$B$6)-GAMMALN('Read me'!$B$6)-GAMMALN(6+1)+'Read me'!$B$6*LN('Read me'!$B$6/('Read me'!$B$6+L115))+6*LN(L115/('Read me'!$B$6+L115)))),"")</f>
        <v/>
      </c>
      <c r="N115" s="16">
        <f>IFERROR(EXP(GAMMALN(7+'Read me'!$B$6)-GAMMALN('Read me'!$B$6)-GAMMALN(7+1)+'Read me'!$B$6*LN('Read me'!$B$6/('Read me'!$B$6+L115))+7*LN(L115/('Read me'!$B$6+L115))),"")</f>
        <v/>
      </c>
      <c r="O115" s="17">
        <f>IFERROR((1-N115)/M115,"")</f>
        <v/>
      </c>
      <c r="P115" s="18" t="n"/>
      <c r="Q115" s="19">
        <f>IF(P115="","",P115*M115+N115-1)</f>
        <v/>
      </c>
      <c r="R115" s="20">
        <f>IF(Q115="","awaiting price",IF(Q115&gt;='Read me'!$B$7,"BET",IF(Q115&gt;=0,"thin","no bet")))</f>
        <v/>
      </c>
    </row>
    <row r="116">
      <c r="A116" s="11" t="n">
        <v>46298</v>
      </c>
      <c r="B116" s="12" t="inlineStr">
        <is>
          <t>Argentina Liga Profesional</t>
        </is>
      </c>
      <c r="C116" s="12" t="inlineStr">
        <is>
          <t>Atletico Tucuman v Barracas Central</t>
        </is>
      </c>
      <c r="D116" s="12" t="inlineStr">
        <is>
          <t>Atletico Tucuman</t>
        </is>
      </c>
      <c r="E116" s="12" t="inlineStr">
        <is>
          <t>Home</t>
        </is>
      </c>
      <c r="F116" s="12" t="inlineStr">
        <is>
          <t>Match under</t>
        </is>
      </c>
      <c r="G116" s="12" t="inlineStr">
        <is>
          <t>under 10 match corners</t>
        </is>
      </c>
      <c r="H116" s="12" t="n">
        <v>4</v>
      </c>
      <c r="I116" s="12" t="n">
        <v>5</v>
      </c>
      <c r="J116" s="12" t="inlineStr">
        <is>
          <t>4/4</t>
        </is>
      </c>
      <c r="K116" s="13" t="n">
        <v>7</v>
      </c>
      <c r="L116" s="14" t="n">
        <v>7.56</v>
      </c>
      <c r="M116" s="15">
        <f>IFERROR(POISSON(10-1,L116,TRUE),"")</f>
        <v/>
      </c>
      <c r="N116" s="16">
        <f>IFERROR(POISSON(10,L116,FALSE),"")</f>
        <v/>
      </c>
      <c r="O116" s="17">
        <f>IFERROR((1-N116)/M116,"")</f>
        <v/>
      </c>
      <c r="P116" s="18" t="n"/>
      <c r="Q116" s="19">
        <f>IF(P116="","",P116*M116+N116-1)</f>
        <v/>
      </c>
      <c r="R116" s="20">
        <f>IF(Q116="","awaiting price",IF(Q116&gt;='Read me'!$B$7,"BET",IF(Q116&gt;=0,"thin","no bet")))</f>
        <v/>
      </c>
    </row>
    <row r="117">
      <c r="A117" s="11" t="n">
        <v>46298</v>
      </c>
      <c r="B117" s="12" t="inlineStr">
        <is>
          <t>Brazil Série B</t>
        </is>
      </c>
      <c r="C117" s="12" t="inlineStr">
        <is>
          <t>Fortaleza EC v Nautico Recife</t>
        </is>
      </c>
      <c r="D117" s="12" t="inlineStr">
        <is>
          <t>Fortaleza EC</t>
        </is>
      </c>
      <c r="E117" s="12" t="inlineStr">
        <is>
          <t>Home</t>
        </is>
      </c>
      <c r="F117" s="12" t="inlineStr">
        <is>
          <t>Match under</t>
        </is>
      </c>
      <c r="G117" s="12" t="inlineStr">
        <is>
          <t>under 10 match corners</t>
        </is>
      </c>
      <c r="H117" s="12" t="n">
        <v>4</v>
      </c>
      <c r="I117" s="12" t="n">
        <v>4</v>
      </c>
      <c r="J117" s="12" t="inlineStr">
        <is>
          <t>4/4</t>
        </is>
      </c>
      <c r="K117" s="13" t="n">
        <v>7.2</v>
      </c>
      <c r="L117" s="14" t="n">
        <v>10.85</v>
      </c>
      <c r="M117" s="15">
        <f>IFERROR(POISSON(10-1,L117,TRUE),"")</f>
        <v/>
      </c>
      <c r="N117" s="16">
        <f>IFERROR(POISSON(10,L117,FALSE),"")</f>
        <v/>
      </c>
      <c r="O117" s="17">
        <f>IFERROR((1-N117)/M117,"")</f>
        <v/>
      </c>
      <c r="P117" s="18" t="n"/>
      <c r="Q117" s="19">
        <f>IF(P117="","",P117*M117+N117-1)</f>
        <v/>
      </c>
      <c r="R117" s="20">
        <f>IF(Q117="","awaiting price",IF(Q117&gt;='Read me'!$B$7,"BET",IF(Q117&gt;=0,"thin","no bet")))</f>
        <v/>
      </c>
    </row>
    <row r="118">
      <c r="A118" s="11" t="n">
        <v>46298</v>
      </c>
      <c r="B118" s="12" t="inlineStr">
        <is>
          <t>Brazil Série B</t>
        </is>
      </c>
      <c r="C118" s="12" t="inlineStr">
        <is>
          <t>Avai v Ceara</t>
        </is>
      </c>
      <c r="D118" s="12" t="inlineStr">
        <is>
          <t>Avai</t>
        </is>
      </c>
      <c r="E118" s="12" t="inlineStr">
        <is>
          <t>Home</t>
        </is>
      </c>
      <c r="F118" s="12" t="inlineStr">
        <is>
          <t>Match under</t>
        </is>
      </c>
      <c r="G118" s="12" t="inlineStr">
        <is>
          <t>under 11 match corners</t>
        </is>
      </c>
      <c r="H118" s="12" t="n">
        <v>4</v>
      </c>
      <c r="I118" s="12" t="n">
        <v>4</v>
      </c>
      <c r="J118" s="12" t="inlineStr">
        <is>
          <t>4/4</t>
        </is>
      </c>
      <c r="K118" s="13" t="n">
        <v>8.4</v>
      </c>
      <c r="L118" s="14" t="n">
        <v>10.88</v>
      </c>
      <c r="M118" s="15">
        <f>IFERROR(POISSON(11-1,L118,TRUE),"")</f>
        <v/>
      </c>
      <c r="N118" s="16">
        <f>IFERROR(POISSON(11,L118,FALSE),"")</f>
        <v/>
      </c>
      <c r="O118" s="17">
        <f>IFERROR((1-N118)/M118,"")</f>
        <v/>
      </c>
      <c r="P118" s="18" t="n"/>
      <c r="Q118" s="19">
        <f>IF(P118="","",P118*M118+N118-1)</f>
        <v/>
      </c>
      <c r="R118" s="20">
        <f>IF(Q118="","awaiting price",IF(Q118&gt;='Read me'!$B$7,"BET",IF(Q118&gt;=0,"thin","no bet")))</f>
        <v/>
      </c>
    </row>
    <row r="119">
      <c r="A119" s="11" t="n">
        <v>46298</v>
      </c>
      <c r="B119" s="12" t="inlineStr">
        <is>
          <t>Brazil Série B</t>
        </is>
      </c>
      <c r="C119" s="12" t="inlineStr">
        <is>
          <t>Cuiaba v Ponte Preta</t>
        </is>
      </c>
      <c r="D119" s="12" t="inlineStr">
        <is>
          <t>Ponte Preta</t>
        </is>
      </c>
      <c r="E119" s="12" t="inlineStr">
        <is>
          <t>Away</t>
        </is>
      </c>
      <c r="F119" s="12" t="inlineStr">
        <is>
          <t>Match under</t>
        </is>
      </c>
      <c r="G119" s="12" t="inlineStr">
        <is>
          <t>under 11 match corners</t>
        </is>
      </c>
      <c r="H119" s="12" t="n">
        <v>4</v>
      </c>
      <c r="I119" s="12" t="n">
        <v>6</v>
      </c>
      <c r="J119" s="12" t="inlineStr">
        <is>
          <t>4/4</t>
        </is>
      </c>
      <c r="K119" s="13" t="n">
        <v>9.6</v>
      </c>
      <c r="L119" s="14" t="n">
        <v>9.640000000000001</v>
      </c>
      <c r="M119" s="15">
        <f>IFERROR(POISSON(11-1,L119,TRUE),"")</f>
        <v/>
      </c>
      <c r="N119" s="16">
        <f>IFERROR(POISSON(11,L119,FALSE),"")</f>
        <v/>
      </c>
      <c r="O119" s="17">
        <f>IFERROR((1-N119)/M119,"")</f>
        <v/>
      </c>
      <c r="P119" s="18" t="n"/>
      <c r="Q119" s="19">
        <f>IF(P119="","",P119*M119+N119-1)</f>
        <v/>
      </c>
      <c r="R119" s="20">
        <f>IF(Q119="","awaiting price",IF(Q119&gt;='Read me'!$B$7,"BET",IF(Q119&gt;=0,"thin","no bet")))</f>
        <v/>
      </c>
    </row>
    <row r="120">
      <c r="A120" s="11" t="n">
        <v>46298</v>
      </c>
      <c r="B120" s="12" t="inlineStr">
        <is>
          <t>England League Two</t>
        </is>
      </c>
      <c r="C120" s="12" t="inlineStr">
        <is>
          <t>Northampton v Oldham</t>
        </is>
      </c>
      <c r="D120" s="12" t="inlineStr">
        <is>
          <t>Northampton</t>
        </is>
      </c>
      <c r="E120" s="12" t="inlineStr">
        <is>
          <t>Home</t>
        </is>
      </c>
      <c r="F120" s="12" t="inlineStr">
        <is>
          <t>Match under</t>
        </is>
      </c>
      <c r="G120" s="12" t="inlineStr">
        <is>
          <t>under 12 match corners</t>
        </is>
      </c>
      <c r="H120" s="12" t="n">
        <v>4</v>
      </c>
      <c r="I120" s="12" t="n">
        <v>4</v>
      </c>
      <c r="J120" s="12" t="inlineStr">
        <is>
          <t>4/4</t>
        </is>
      </c>
      <c r="K120" s="13" t="n">
        <v>7</v>
      </c>
      <c r="L120" s="14" t="n">
        <v>9.300000000000001</v>
      </c>
      <c r="M120" s="15">
        <f>IFERROR(POISSON(12-1,L120,TRUE),"")</f>
        <v/>
      </c>
      <c r="N120" s="16">
        <f>IFERROR(POISSON(12,L120,FALSE),"")</f>
        <v/>
      </c>
      <c r="O120" s="17">
        <f>IFERROR((1-N120)/M120,"")</f>
        <v/>
      </c>
      <c r="P120" s="18" t="n"/>
      <c r="Q120" s="19">
        <f>IF(P120="","",P120*M120+N120-1)</f>
        <v/>
      </c>
      <c r="R120" s="20">
        <f>IF(Q120="","awaiting price",IF(Q120&gt;='Read me'!$B$7,"BET",IF(Q120&gt;=0,"thin","no bet")))</f>
        <v/>
      </c>
    </row>
    <row r="121">
      <c r="A121" s="11" t="n">
        <v>46298</v>
      </c>
      <c r="B121" s="12" t="inlineStr">
        <is>
          <t>England League One</t>
        </is>
      </c>
      <c r="C121" s="12" t="inlineStr">
        <is>
          <t>Reading v Bradford</t>
        </is>
      </c>
      <c r="D121" s="12" t="inlineStr">
        <is>
          <t>Reading</t>
        </is>
      </c>
      <c r="E121" s="12" t="inlineStr">
        <is>
          <t>Home</t>
        </is>
      </c>
      <c r="F121" s="12" t="inlineStr">
        <is>
          <t>Match under</t>
        </is>
      </c>
      <c r="G121" s="12" t="inlineStr">
        <is>
          <t>under 12 match corners</t>
        </is>
      </c>
      <c r="H121" s="12" t="n">
        <v>4</v>
      </c>
      <c r="I121" s="12" t="n">
        <v>6</v>
      </c>
      <c r="J121" s="12" t="inlineStr">
        <is>
          <t>4/4</t>
        </is>
      </c>
      <c r="K121" s="13" t="n">
        <v>8.6</v>
      </c>
      <c r="L121" s="14" t="n">
        <v>10.24</v>
      </c>
      <c r="M121" s="15">
        <f>IFERROR(POISSON(12-1,L121,TRUE),"")</f>
        <v/>
      </c>
      <c r="N121" s="16">
        <f>IFERROR(POISSON(12,L121,FALSE),"")</f>
        <v/>
      </c>
      <c r="O121" s="17">
        <f>IFERROR((1-N121)/M121,"")</f>
        <v/>
      </c>
      <c r="P121" s="18" t="n"/>
      <c r="Q121" s="19">
        <f>IF(P121="","",P121*M121+N121-1)</f>
        <v/>
      </c>
      <c r="R121" s="20">
        <f>IF(Q121="","awaiting price",IF(Q121&gt;='Read me'!$B$7,"BET",IF(Q121&gt;=0,"thin","no bet")))</f>
        <v/>
      </c>
    </row>
    <row r="122">
      <c r="A122" s="11" t="n">
        <v>46299</v>
      </c>
      <c r="B122" s="12" t="inlineStr">
        <is>
          <t>Argentina Liga Profesional</t>
        </is>
      </c>
      <c r="C122" s="12" t="inlineStr">
        <is>
          <t>Sarmiento Junin v River Plate</t>
        </is>
      </c>
      <c r="D122" s="12" t="inlineStr">
        <is>
          <t>Sarmiento Junin</t>
        </is>
      </c>
      <c r="E122" s="12" t="inlineStr">
        <is>
          <t>Home</t>
        </is>
      </c>
      <c r="F122" s="12" t="inlineStr">
        <is>
          <t>Team under</t>
        </is>
      </c>
      <c r="G122" s="12" t="inlineStr">
        <is>
          <t>under 4 team corners</t>
        </is>
      </c>
      <c r="H122" s="12" t="n">
        <v>4</v>
      </c>
      <c r="I122" s="12" t="n">
        <v>5</v>
      </c>
      <c r="J122" s="12" t="inlineStr">
        <is>
          <t>4/4</t>
        </is>
      </c>
      <c r="K122" s="13" t="n">
        <v>2.6</v>
      </c>
      <c r="L122" s="14" t="n">
        <v>4.18</v>
      </c>
      <c r="M122" s="15">
        <f>IFERROR((EXP(GAMMALN(0+'Read me'!$B$6)-GAMMALN('Read me'!$B$6)-GAMMALN(0+1)+'Read me'!$B$6*LN('Read me'!$B$6/('Read me'!$B$6+L122))+0*LN(L122/('Read me'!$B$6+L122)))+EXP(GAMMALN(1+'Read me'!$B$6)-GAMMALN('Read me'!$B$6)-GAMMALN(1+1)+'Read me'!$B$6*LN('Read me'!$B$6/('Read me'!$B$6+L122))+1*LN(L122/('Read me'!$B$6+L122)))+EXP(GAMMALN(2+'Read me'!$B$6)-GAMMALN('Read me'!$B$6)-GAMMALN(2+1)+'Read me'!$B$6*LN('Read me'!$B$6/('Read me'!$B$6+L122))+2*LN(L122/('Read me'!$B$6+L122)))+EXP(GAMMALN(3+'Read me'!$B$6)-GAMMALN('Read me'!$B$6)-GAMMALN(3+1)+'Read me'!$B$6*LN('Read me'!$B$6/('Read me'!$B$6+L122))+3*LN(L122/('Read me'!$B$6+L122)))),"")</f>
        <v/>
      </c>
      <c r="N122" s="16">
        <f>IFERROR(EXP(GAMMALN(4+'Read me'!$B$6)-GAMMALN('Read me'!$B$6)-GAMMALN(4+1)+'Read me'!$B$6*LN('Read me'!$B$6/('Read me'!$B$6+L122))+4*LN(L122/('Read me'!$B$6+L122))),"")</f>
        <v/>
      </c>
      <c r="O122" s="17">
        <f>IFERROR((1-N122)/M122,"")</f>
        <v/>
      </c>
      <c r="P122" s="18" t="n"/>
      <c r="Q122" s="19">
        <f>IF(P122="","",P122*M122+N122-1)</f>
        <v/>
      </c>
      <c r="R122" s="20">
        <f>IF(Q122="","awaiting price",IF(Q122&gt;='Read me'!$B$7,"BET",IF(Q122&gt;=0,"thin","no bet")))</f>
        <v/>
      </c>
    </row>
    <row r="123">
      <c r="A123" s="11" t="n">
        <v>46299</v>
      </c>
      <c r="B123" s="12" t="inlineStr">
        <is>
          <t>Argentina Liga Profesional</t>
        </is>
      </c>
      <c r="C123" s="12" t="inlineStr">
        <is>
          <t>Huracan v Aldosivi</t>
        </is>
      </c>
      <c r="D123" s="12" t="inlineStr">
        <is>
          <t>Huracan</t>
        </is>
      </c>
      <c r="E123" s="12" t="inlineStr">
        <is>
          <t>Home</t>
        </is>
      </c>
      <c r="F123" s="12" t="inlineStr">
        <is>
          <t>Match under</t>
        </is>
      </c>
      <c r="G123" s="12" t="inlineStr">
        <is>
          <t>under 10 match corners</t>
        </is>
      </c>
      <c r="H123" s="12" t="n">
        <v>4</v>
      </c>
      <c r="I123" s="12" t="n">
        <v>6</v>
      </c>
      <c r="J123" s="12" t="inlineStr">
        <is>
          <t>4/4</t>
        </is>
      </c>
      <c r="K123" s="13" t="n">
        <v>7.6</v>
      </c>
      <c r="L123" s="14" t="n">
        <v>9.869999999999999</v>
      </c>
      <c r="M123" s="15">
        <f>IFERROR(POISSON(10-1,L123,TRUE),"")</f>
        <v/>
      </c>
      <c r="N123" s="16">
        <f>IFERROR(POISSON(10,L123,FALSE),"")</f>
        <v/>
      </c>
      <c r="O123" s="17">
        <f>IFERROR((1-N123)/M123,"")</f>
        <v/>
      </c>
      <c r="P123" s="18" t="n"/>
      <c r="Q123" s="19">
        <f>IF(P123="","",P123*M123+N123-1)</f>
        <v/>
      </c>
      <c r="R123" s="20">
        <f>IF(Q123="","awaiting price",IF(Q123&gt;='Read me'!$B$7,"BET",IF(Q123&gt;=0,"thin","no bet")))</f>
        <v/>
      </c>
    </row>
    <row r="124">
      <c r="A124" s="11" t="n">
        <v>46300</v>
      </c>
      <c r="B124" s="12" t="inlineStr">
        <is>
          <t>Argentina Liga Profesional</t>
        </is>
      </c>
      <c r="C124" s="12" t="inlineStr">
        <is>
          <t>Estudiantes L.P. v Gimnasia M.</t>
        </is>
      </c>
      <c r="D124" s="12" t="inlineStr">
        <is>
          <t>Gimnasia M.</t>
        </is>
      </c>
      <c r="E124" s="12" t="inlineStr">
        <is>
          <t>Away</t>
        </is>
      </c>
      <c r="F124" s="12" t="inlineStr">
        <is>
          <t>Team under</t>
        </is>
      </c>
      <c r="G124" s="12" t="inlineStr">
        <is>
          <t>under 6 team corners</t>
        </is>
      </c>
      <c r="H124" s="12" t="n">
        <v>4</v>
      </c>
      <c r="I124" s="12" t="n">
        <v>6</v>
      </c>
      <c r="J124" s="12" t="inlineStr">
        <is>
          <t>4/4</t>
        </is>
      </c>
      <c r="K124" s="13" t="n">
        <v>3.4</v>
      </c>
      <c r="L124" s="14" t="n">
        <v>3.08</v>
      </c>
      <c r="M124" s="15">
        <f>IFERROR((EXP(GAMMALN(0+'Read me'!$B$6)-GAMMALN('Read me'!$B$6)-GAMMALN(0+1)+'Read me'!$B$6*LN('Read me'!$B$6/('Read me'!$B$6+L124))+0*LN(L124/('Read me'!$B$6+L124)))+EXP(GAMMALN(1+'Read me'!$B$6)-GAMMALN('Read me'!$B$6)-GAMMALN(1+1)+'Read me'!$B$6*LN('Read me'!$B$6/('Read me'!$B$6+L124))+1*LN(L124/('Read me'!$B$6+L124)))+EXP(GAMMALN(2+'Read me'!$B$6)-GAMMALN('Read me'!$B$6)-GAMMALN(2+1)+'Read me'!$B$6*LN('Read me'!$B$6/('Read me'!$B$6+L124))+2*LN(L124/('Read me'!$B$6+L124)))+EXP(GAMMALN(3+'Read me'!$B$6)-GAMMALN('Read me'!$B$6)-GAMMALN(3+1)+'Read me'!$B$6*LN('Read me'!$B$6/('Read me'!$B$6+L124))+3*LN(L124/('Read me'!$B$6+L124)))+EXP(GAMMALN(4+'Read me'!$B$6)-GAMMALN('Read me'!$B$6)-GAMMALN(4+1)+'Read me'!$B$6*LN('Read me'!$B$6/('Read me'!$B$6+L124))+4*LN(L124/('Read me'!$B$6+L124)))+EXP(GAMMALN(5+'Read me'!$B$6)-GAMMALN('Read me'!$B$6)-GAMMALN(5+1)+'Read me'!$B$6*LN('Read me'!$B$6/('Read me'!$B$6+L124))+5*LN(L124/('Read me'!$B$6+L124)))),"")</f>
        <v/>
      </c>
      <c r="N124" s="16">
        <f>IFERROR(EXP(GAMMALN(6+'Read me'!$B$6)-GAMMALN('Read me'!$B$6)-GAMMALN(6+1)+'Read me'!$B$6*LN('Read me'!$B$6/('Read me'!$B$6+L124))+6*LN(L124/('Read me'!$B$6+L124))),"")</f>
        <v/>
      </c>
      <c r="O124" s="17">
        <f>IFERROR((1-N124)/M124,"")</f>
        <v/>
      </c>
      <c r="P124" s="18" t="n"/>
      <c r="Q124" s="19">
        <f>IF(P124="","",P124*M124+N124-1)</f>
        <v/>
      </c>
      <c r="R124" s="20">
        <f>IF(Q124="","awaiting price",IF(Q124&gt;='Read me'!$B$7,"BET",IF(Q124&gt;=0,"thin","no bet")))</f>
        <v/>
      </c>
    </row>
    <row r="125">
      <c r="A125" s="11" t="n">
        <v>46300</v>
      </c>
      <c r="B125" s="12" t="inlineStr">
        <is>
          <t>Argentina Liga Profesional</t>
        </is>
      </c>
      <c r="C125" s="12" t="inlineStr">
        <is>
          <t>Velez Sarsfield v Platense</t>
        </is>
      </c>
      <c r="D125" s="12" t="inlineStr">
        <is>
          <t>Velez Sarsfield</t>
        </is>
      </c>
      <c r="E125" s="12" t="inlineStr">
        <is>
          <t>Home</t>
        </is>
      </c>
      <c r="F125" s="12" t="inlineStr">
        <is>
          <t>Match under</t>
        </is>
      </c>
      <c r="G125" s="12" t="inlineStr">
        <is>
          <t>under 10 match corners</t>
        </is>
      </c>
      <c r="H125" s="12" t="n">
        <v>4</v>
      </c>
      <c r="I125" s="12" t="n">
        <v>5</v>
      </c>
      <c r="J125" s="12" t="inlineStr">
        <is>
          <t>4/4</t>
        </is>
      </c>
      <c r="K125" s="13" t="n">
        <v>8.199999999999999</v>
      </c>
      <c r="L125" s="14" t="n">
        <v>9</v>
      </c>
      <c r="M125" s="15">
        <f>IFERROR(POISSON(10-1,L125,TRUE),"")</f>
        <v/>
      </c>
      <c r="N125" s="16">
        <f>IFERROR(POISSON(10,L125,FALSE),"")</f>
        <v/>
      </c>
      <c r="O125" s="17">
        <f>IFERROR((1-N125)/M125,"")</f>
        <v/>
      </c>
      <c r="P125" s="18" t="n"/>
      <c r="Q125" s="19">
        <f>IF(P125="","",P125*M125+N125-1)</f>
        <v/>
      </c>
      <c r="R125" s="20">
        <f>IF(Q125="","awaiting price",IF(Q125&gt;='Read me'!$B$7,"BET",IF(Q125&gt;=0,"thin","no bet")))</f>
        <v/>
      </c>
    </row>
    <row r="126">
      <c r="A126" s="11" t="n">
        <v>46302</v>
      </c>
      <c r="B126" s="12" t="inlineStr">
        <is>
          <t>Brazil Série A</t>
        </is>
      </c>
      <c r="C126" s="12" t="inlineStr">
        <is>
          <t>Remo v Gremio</t>
        </is>
      </c>
      <c r="D126" s="12" t="inlineStr">
        <is>
          <t>Gremio</t>
        </is>
      </c>
      <c r="E126" s="12" t="inlineStr">
        <is>
          <t>Away</t>
        </is>
      </c>
      <c r="F126" s="12" t="inlineStr">
        <is>
          <t>Team under</t>
        </is>
      </c>
      <c r="G126" s="12" t="inlineStr">
        <is>
          <t>under 5 team corners</t>
        </is>
      </c>
      <c r="H126" s="12" t="n">
        <v>4</v>
      </c>
      <c r="I126" s="12" t="n">
        <v>5</v>
      </c>
      <c r="J126" s="12" t="inlineStr">
        <is>
          <t>4/4</t>
        </is>
      </c>
      <c r="K126" s="13" t="n">
        <v>2.8</v>
      </c>
      <c r="L126" s="14" t="n">
        <v>4.76</v>
      </c>
      <c r="M126" s="15">
        <f>IFERROR((EXP(GAMMALN(0+'Read me'!$B$6)-GAMMALN('Read me'!$B$6)-GAMMALN(0+1)+'Read me'!$B$6*LN('Read me'!$B$6/('Read me'!$B$6+L126))+0*LN(L126/('Read me'!$B$6+L126)))+EXP(GAMMALN(1+'Read me'!$B$6)-GAMMALN('Read me'!$B$6)-GAMMALN(1+1)+'Read me'!$B$6*LN('Read me'!$B$6/('Read me'!$B$6+L126))+1*LN(L126/('Read me'!$B$6+L126)))+EXP(GAMMALN(2+'Read me'!$B$6)-GAMMALN('Read me'!$B$6)-GAMMALN(2+1)+'Read me'!$B$6*LN('Read me'!$B$6/('Read me'!$B$6+L126))+2*LN(L126/('Read me'!$B$6+L126)))+EXP(GAMMALN(3+'Read me'!$B$6)-GAMMALN('Read me'!$B$6)-GAMMALN(3+1)+'Read me'!$B$6*LN('Read me'!$B$6/('Read me'!$B$6+L126))+3*LN(L126/('Read me'!$B$6+L126)))+EXP(GAMMALN(4+'Read me'!$B$6)-GAMMALN('Read me'!$B$6)-GAMMALN(4+1)+'Read me'!$B$6*LN('Read me'!$B$6/('Read me'!$B$6+L126))+4*LN(L126/('Read me'!$B$6+L126)))),"")</f>
        <v/>
      </c>
      <c r="N126" s="16">
        <f>IFERROR(EXP(GAMMALN(5+'Read me'!$B$6)-GAMMALN('Read me'!$B$6)-GAMMALN(5+1)+'Read me'!$B$6*LN('Read me'!$B$6/('Read me'!$B$6+L126))+5*LN(L126/('Read me'!$B$6+L126))),"")</f>
        <v/>
      </c>
      <c r="O126" s="17">
        <f>IFERROR((1-N126)/M126,"")</f>
        <v/>
      </c>
      <c r="P126" s="18" t="n"/>
      <c r="Q126" s="19">
        <f>IF(P126="","",P126*M126+N126-1)</f>
        <v/>
      </c>
      <c r="R126" s="20">
        <f>IF(Q126="","awaiting price",IF(Q126&gt;='Read me'!$B$7,"BET",IF(Q126&gt;=0,"thin","no bet")))</f>
        <v/>
      </c>
    </row>
    <row r="127">
      <c r="A127" s="11" t="n">
        <v>46302</v>
      </c>
      <c r="B127" s="12" t="inlineStr">
        <is>
          <t>Brazil Série A</t>
        </is>
      </c>
      <c r="C127" s="12" t="inlineStr">
        <is>
          <t>Remo v Gremio</t>
        </is>
      </c>
      <c r="D127" s="12" t="inlineStr">
        <is>
          <t>Gremio</t>
        </is>
      </c>
      <c r="E127" s="12" t="inlineStr">
        <is>
          <t>Away</t>
        </is>
      </c>
      <c r="F127" s="12" t="inlineStr">
        <is>
          <t>Match under</t>
        </is>
      </c>
      <c r="G127" s="12" t="inlineStr">
        <is>
          <t>under 12 match corners</t>
        </is>
      </c>
      <c r="H127" s="12" t="n">
        <v>4</v>
      </c>
      <c r="I127" s="12" t="n">
        <v>8</v>
      </c>
      <c r="J127" s="12" t="inlineStr">
        <is>
          <t>4/4</t>
        </is>
      </c>
      <c r="K127" s="13" t="n">
        <v>8.800000000000001</v>
      </c>
      <c r="L127" s="14" t="n">
        <v>10.55</v>
      </c>
      <c r="M127" s="15">
        <f>IFERROR(POISSON(12-1,L127,TRUE),"")</f>
        <v/>
      </c>
      <c r="N127" s="16">
        <f>IFERROR(POISSON(12,L127,FALSE),"")</f>
        <v/>
      </c>
      <c r="O127" s="17">
        <f>IFERROR((1-N127)/M127,"")</f>
        <v/>
      </c>
      <c r="P127" s="18" t="n"/>
      <c r="Q127" s="19">
        <f>IF(P127="","",P127*M127+N127-1)</f>
        <v/>
      </c>
      <c r="R127" s="20">
        <f>IF(Q127="","awaiting price",IF(Q127&gt;='Read me'!$B$7,"BET",IF(Q127&gt;=0,"thin","no bet")))</f>
        <v/>
      </c>
    </row>
    <row r="128">
      <c r="A128" s="11" t="n">
        <v>46303</v>
      </c>
      <c r="B128" s="12" t="inlineStr">
        <is>
          <t>Brazil Série A</t>
        </is>
      </c>
      <c r="C128" s="12" t="inlineStr">
        <is>
          <t>Cruzeiro v Sao Paulo</t>
        </is>
      </c>
      <c r="D128" s="12" t="inlineStr">
        <is>
          <t>Cruzeiro</t>
        </is>
      </c>
      <c r="E128" s="12" t="inlineStr">
        <is>
          <t>Home</t>
        </is>
      </c>
      <c r="F128" s="12" t="inlineStr">
        <is>
          <t>Team under</t>
        </is>
      </c>
      <c r="G128" s="12" t="inlineStr">
        <is>
          <t>under 7 team corners</t>
        </is>
      </c>
      <c r="H128" s="12" t="n">
        <v>4</v>
      </c>
      <c r="I128" s="12" t="n">
        <v>6</v>
      </c>
      <c r="J128" s="12" t="inlineStr">
        <is>
          <t>4/4</t>
        </is>
      </c>
      <c r="K128" s="13" t="n">
        <v>3.4</v>
      </c>
      <c r="L128" s="14" t="n">
        <v>5.5</v>
      </c>
      <c r="M128" s="15">
        <f>IFERROR((EXP(GAMMALN(0+'Read me'!$B$6)-GAMMALN('Read me'!$B$6)-GAMMALN(0+1)+'Read me'!$B$6*LN('Read me'!$B$6/('Read me'!$B$6+L128))+0*LN(L128/('Read me'!$B$6+L128)))+EXP(GAMMALN(1+'Read me'!$B$6)-GAMMALN('Read me'!$B$6)-GAMMALN(1+1)+'Read me'!$B$6*LN('Read me'!$B$6/('Read me'!$B$6+L128))+1*LN(L128/('Read me'!$B$6+L128)))+EXP(GAMMALN(2+'Read me'!$B$6)-GAMMALN('Read me'!$B$6)-GAMMALN(2+1)+'Read me'!$B$6*LN('Read me'!$B$6/('Read me'!$B$6+L128))+2*LN(L128/('Read me'!$B$6+L128)))+EXP(GAMMALN(3+'Read me'!$B$6)-GAMMALN('Read me'!$B$6)-GAMMALN(3+1)+'Read me'!$B$6*LN('Read me'!$B$6/('Read me'!$B$6+L128))+3*LN(L128/('Read me'!$B$6+L128)))+EXP(GAMMALN(4+'Read me'!$B$6)-GAMMALN('Read me'!$B$6)-GAMMALN(4+1)+'Read me'!$B$6*LN('Read me'!$B$6/('Read me'!$B$6+L128))+4*LN(L128/('Read me'!$B$6+L128)))+EXP(GAMMALN(5+'Read me'!$B$6)-GAMMALN('Read me'!$B$6)-GAMMALN(5+1)+'Read me'!$B$6*LN('Read me'!$B$6/('Read me'!$B$6+L128))+5*LN(L128/('Read me'!$B$6+L128)))+EXP(GAMMALN(6+'Read me'!$B$6)-GAMMALN('Read me'!$B$6)-GAMMALN(6+1)+'Read me'!$B$6*LN('Read me'!$B$6/('Read me'!$B$6+L128))+6*LN(L128/('Read me'!$B$6+L128)))),"")</f>
        <v/>
      </c>
      <c r="N128" s="16">
        <f>IFERROR(EXP(GAMMALN(7+'Read me'!$B$6)-GAMMALN('Read me'!$B$6)-GAMMALN(7+1)+'Read me'!$B$6*LN('Read me'!$B$6/('Read me'!$B$6+L128))+7*LN(L128/('Read me'!$B$6+L128))),"")</f>
        <v/>
      </c>
      <c r="O128" s="17">
        <f>IFERROR((1-N128)/M128,"")</f>
        <v/>
      </c>
      <c r="P128" s="18" t="n"/>
      <c r="Q128" s="19">
        <f>IF(P128="","",P128*M128+N128-1)</f>
        <v/>
      </c>
      <c r="R128" s="20">
        <f>IF(Q128="","awaiting price",IF(Q128&gt;='Read me'!$B$7,"BET",IF(Q128&gt;=0,"thin","no bet")))</f>
        <v/>
      </c>
    </row>
    <row r="129">
      <c r="A129" s="11" t="n">
        <v>46298</v>
      </c>
      <c r="B129" s="12" t="inlineStr">
        <is>
          <t>England League Two</t>
        </is>
      </c>
      <c r="C129" s="12" t="inlineStr">
        <is>
          <t>Northampton v Oldham</t>
        </is>
      </c>
      <c r="D129" s="12" t="inlineStr">
        <is>
          <t>Northampton</t>
        </is>
      </c>
      <c r="E129" s="12" t="inlineStr">
        <is>
          <t>Home</t>
        </is>
      </c>
      <c r="F129" s="12" t="inlineStr">
        <is>
          <t>Team under</t>
        </is>
      </c>
      <c r="G129" s="12" t="inlineStr">
        <is>
          <t>under 5 team corners</t>
        </is>
      </c>
      <c r="H129" s="12" t="n">
        <v>3</v>
      </c>
      <c r="I129" s="12" t="n">
        <v>3</v>
      </c>
      <c r="J129" s="12" t="inlineStr">
        <is>
          <t>3/3</t>
        </is>
      </c>
      <c r="K129" s="13" t="n">
        <v>3.8</v>
      </c>
      <c r="L129" s="14" t="n">
        <v>5.49</v>
      </c>
      <c r="M129" s="15">
        <f>IFERROR((EXP(GAMMALN(0+'Read me'!$B$6)-GAMMALN('Read me'!$B$6)-GAMMALN(0+1)+'Read me'!$B$6*LN('Read me'!$B$6/('Read me'!$B$6+L129))+0*LN(L129/('Read me'!$B$6+L129)))+EXP(GAMMALN(1+'Read me'!$B$6)-GAMMALN('Read me'!$B$6)-GAMMALN(1+1)+'Read me'!$B$6*LN('Read me'!$B$6/('Read me'!$B$6+L129))+1*LN(L129/('Read me'!$B$6+L129)))+EXP(GAMMALN(2+'Read me'!$B$6)-GAMMALN('Read me'!$B$6)-GAMMALN(2+1)+'Read me'!$B$6*LN('Read me'!$B$6/('Read me'!$B$6+L129))+2*LN(L129/('Read me'!$B$6+L129)))+EXP(GAMMALN(3+'Read me'!$B$6)-GAMMALN('Read me'!$B$6)-GAMMALN(3+1)+'Read me'!$B$6*LN('Read me'!$B$6/('Read me'!$B$6+L129))+3*LN(L129/('Read me'!$B$6+L129)))+EXP(GAMMALN(4+'Read me'!$B$6)-GAMMALN('Read me'!$B$6)-GAMMALN(4+1)+'Read me'!$B$6*LN('Read me'!$B$6/('Read me'!$B$6+L129))+4*LN(L129/('Read me'!$B$6+L129)))),"")</f>
        <v/>
      </c>
      <c r="N129" s="16">
        <f>IFERROR(EXP(GAMMALN(5+'Read me'!$B$6)-GAMMALN('Read me'!$B$6)-GAMMALN(5+1)+'Read me'!$B$6*LN('Read me'!$B$6/('Read me'!$B$6+L129))+5*LN(L129/('Read me'!$B$6+L129))),"")</f>
        <v/>
      </c>
      <c r="O129" s="17">
        <f>IFERROR((1-N129)/M129,"")</f>
        <v/>
      </c>
      <c r="P129" s="18" t="n"/>
      <c r="Q129" s="19">
        <f>IF(P129="","",P129*M129+N129-1)</f>
        <v/>
      </c>
      <c r="R129" s="20">
        <f>IF(Q129="","awaiting price",IF(Q129&gt;='Read me'!$B$7,"BET",IF(Q129&gt;=0,"thin","no bet")))</f>
        <v/>
      </c>
    </row>
    <row r="130">
      <c r="A130" s="11" t="n">
        <v>46298</v>
      </c>
      <c r="B130" s="12" t="inlineStr">
        <is>
          <t>Brazil Série B</t>
        </is>
      </c>
      <c r="C130" s="12" t="inlineStr">
        <is>
          <t>Cuiaba v Ponte Preta</t>
        </is>
      </c>
      <c r="D130" s="12" t="inlineStr">
        <is>
          <t>Cuiaba</t>
        </is>
      </c>
      <c r="E130" s="12" t="inlineStr">
        <is>
          <t>Home</t>
        </is>
      </c>
      <c r="F130" s="12" t="inlineStr">
        <is>
          <t>Team under</t>
        </is>
      </c>
      <c r="G130" s="12" t="inlineStr">
        <is>
          <t>under 7 team corners</t>
        </is>
      </c>
      <c r="H130" s="12" t="n">
        <v>3</v>
      </c>
      <c r="I130" s="12" t="n">
        <v>3</v>
      </c>
      <c r="J130" s="12" t="inlineStr">
        <is>
          <t>2/2</t>
        </is>
      </c>
      <c r="K130" s="13" t="n">
        <v>5</v>
      </c>
      <c r="L130" s="14" t="n">
        <v>6.66</v>
      </c>
      <c r="M130" s="15">
        <f>IFERROR((EXP(GAMMALN(0+'Read me'!$B$6)-GAMMALN('Read me'!$B$6)-GAMMALN(0+1)+'Read me'!$B$6*LN('Read me'!$B$6/('Read me'!$B$6+L130))+0*LN(L130/('Read me'!$B$6+L130)))+EXP(GAMMALN(1+'Read me'!$B$6)-GAMMALN('Read me'!$B$6)-GAMMALN(1+1)+'Read me'!$B$6*LN('Read me'!$B$6/('Read me'!$B$6+L130))+1*LN(L130/('Read me'!$B$6+L130)))+EXP(GAMMALN(2+'Read me'!$B$6)-GAMMALN('Read me'!$B$6)-GAMMALN(2+1)+'Read me'!$B$6*LN('Read me'!$B$6/('Read me'!$B$6+L130))+2*LN(L130/('Read me'!$B$6+L130)))+EXP(GAMMALN(3+'Read me'!$B$6)-GAMMALN('Read me'!$B$6)-GAMMALN(3+1)+'Read me'!$B$6*LN('Read me'!$B$6/('Read me'!$B$6+L130))+3*LN(L130/('Read me'!$B$6+L130)))+EXP(GAMMALN(4+'Read me'!$B$6)-GAMMALN('Read me'!$B$6)-GAMMALN(4+1)+'Read me'!$B$6*LN('Read me'!$B$6/('Read me'!$B$6+L130))+4*LN(L130/('Read me'!$B$6+L130)))+EXP(GAMMALN(5+'Read me'!$B$6)-GAMMALN('Read me'!$B$6)-GAMMALN(5+1)+'Read me'!$B$6*LN('Read me'!$B$6/('Read me'!$B$6+L130))+5*LN(L130/('Read me'!$B$6+L130)))+EXP(GAMMALN(6+'Read me'!$B$6)-GAMMALN('Read me'!$B$6)-GAMMALN(6+1)+'Read me'!$B$6*LN('Read me'!$B$6/('Read me'!$B$6+L130))+6*LN(L130/('Read me'!$B$6+L130)))),"")</f>
        <v/>
      </c>
      <c r="N130" s="16">
        <f>IFERROR(EXP(GAMMALN(7+'Read me'!$B$6)-GAMMALN('Read me'!$B$6)-GAMMALN(7+1)+'Read me'!$B$6*LN('Read me'!$B$6/('Read me'!$B$6+L130))+7*LN(L130/('Read me'!$B$6+L130))),"")</f>
        <v/>
      </c>
      <c r="O130" s="17">
        <f>IFERROR((1-N130)/M130,"")</f>
        <v/>
      </c>
      <c r="P130" s="18" t="n"/>
      <c r="Q130" s="19">
        <f>IF(P130="","",P130*M130+N130-1)</f>
        <v/>
      </c>
      <c r="R130" s="20">
        <f>IF(Q130="","awaiting price",IF(Q130&gt;='Read me'!$B$7,"BET",IF(Q130&gt;=0,"thin","no bet")))</f>
        <v/>
      </c>
    </row>
    <row r="131">
      <c r="A131" s="11" t="n">
        <v>46298</v>
      </c>
      <c r="B131" s="12" t="inlineStr">
        <is>
          <t>Argentina Liga Profesional</t>
        </is>
      </c>
      <c r="C131" s="12" t="inlineStr">
        <is>
          <t>Argentinos JRS v Tigre</t>
        </is>
      </c>
      <c r="D131" s="12" t="inlineStr">
        <is>
          <t>Tigre</t>
        </is>
      </c>
      <c r="E131" s="12" t="inlineStr">
        <is>
          <t>Away</t>
        </is>
      </c>
      <c r="F131" s="12" t="inlineStr">
        <is>
          <t>Match under</t>
        </is>
      </c>
      <c r="G131" s="12" t="inlineStr">
        <is>
          <t>under 9 match corners</t>
        </is>
      </c>
      <c r="H131" s="12" t="n">
        <v>3</v>
      </c>
      <c r="I131" s="12" t="n">
        <v>3</v>
      </c>
      <c r="J131" s="12" t="inlineStr">
        <is>
          <t>3/3</t>
        </is>
      </c>
      <c r="K131" s="13" t="n">
        <v>8</v>
      </c>
      <c r="L131" s="14" t="n">
        <v>9.859999999999999</v>
      </c>
      <c r="M131" s="15">
        <f>IFERROR(POISSON(9-1,L131,TRUE),"")</f>
        <v/>
      </c>
      <c r="N131" s="16">
        <f>IFERROR(POISSON(9,L131,FALSE),"")</f>
        <v/>
      </c>
      <c r="O131" s="17">
        <f>IFERROR((1-N131)/M131,"")</f>
        <v/>
      </c>
      <c r="P131" s="18" t="n"/>
      <c r="Q131" s="19">
        <f>IF(P131="","",P131*M131+N131-1)</f>
        <v/>
      </c>
      <c r="R131" s="20">
        <f>IF(Q131="","awaiting price",IF(Q131&gt;='Read me'!$B$7,"BET",IF(Q131&gt;=0,"thin","no bet")))</f>
        <v/>
      </c>
    </row>
    <row r="132">
      <c r="A132" s="11" t="n">
        <v>46298</v>
      </c>
      <c r="B132" s="12" t="inlineStr">
        <is>
          <t>Netherlands Eerste Divisie</t>
        </is>
      </c>
      <c r="C132" s="12" t="inlineStr">
        <is>
          <t>Almere City FC v FC Volendam</t>
        </is>
      </c>
      <c r="D132" s="12" t="inlineStr">
        <is>
          <t>FC Volendam</t>
        </is>
      </c>
      <c r="E132" s="12" t="inlineStr">
        <is>
          <t>Away</t>
        </is>
      </c>
      <c r="F132" s="12" t="inlineStr">
        <is>
          <t>Match under</t>
        </is>
      </c>
      <c r="G132" s="12" t="inlineStr">
        <is>
          <t>under 11 match corners</t>
        </is>
      </c>
      <c r="H132" s="12" t="n">
        <v>3</v>
      </c>
      <c r="I132" s="12" t="n">
        <v>3</v>
      </c>
      <c r="J132" s="12" t="inlineStr">
        <is>
          <t>2/2</t>
        </is>
      </c>
      <c r="K132" s="13" t="n">
        <v>10</v>
      </c>
      <c r="L132" s="14" t="n">
        <v>8.85</v>
      </c>
      <c r="M132" s="15">
        <f>IFERROR(POISSON(11-1,L132,TRUE),"")</f>
        <v/>
      </c>
      <c r="N132" s="16">
        <f>IFERROR(POISSON(11,L132,FALSE),"")</f>
        <v/>
      </c>
      <c r="O132" s="17">
        <f>IFERROR((1-N132)/M132,"")</f>
        <v/>
      </c>
      <c r="P132" s="18" t="n"/>
      <c r="Q132" s="19">
        <f>IF(P132="","",P132*M132+N132-1)</f>
        <v/>
      </c>
      <c r="R132" s="20">
        <f>IF(Q132="","awaiting price",IF(Q132&gt;='Read me'!$B$7,"BET",IF(Q132&gt;=0,"thin","no bet")))</f>
        <v/>
      </c>
    </row>
    <row r="133">
      <c r="A133" s="11" t="n">
        <v>46300</v>
      </c>
      <c r="B133" s="12" t="inlineStr">
        <is>
          <t>Argentina Liga Profesional</t>
        </is>
      </c>
      <c r="C133" s="12" t="inlineStr">
        <is>
          <t>Deportivo Riestra v Central Cordoba de Santiago</t>
        </is>
      </c>
      <c r="D133" s="12" t="inlineStr">
        <is>
          <t>Deportivo Riestra</t>
        </is>
      </c>
      <c r="E133" s="12" t="inlineStr">
        <is>
          <t>Home</t>
        </is>
      </c>
      <c r="F133" s="12" t="inlineStr">
        <is>
          <t>Match under</t>
        </is>
      </c>
      <c r="G133" s="12" t="inlineStr">
        <is>
          <t>under 8 match corners</t>
        </is>
      </c>
      <c r="H133" s="12" t="n">
        <v>3</v>
      </c>
      <c r="I133" s="12" t="n">
        <v>3</v>
      </c>
      <c r="J133" s="12" t="inlineStr">
        <is>
          <t>3/3</t>
        </is>
      </c>
      <c r="K133" s="13" t="n">
        <v>7</v>
      </c>
      <c r="L133" s="14" t="n">
        <v>8.289999999999999</v>
      </c>
      <c r="M133" s="15">
        <f>IFERROR(POISSON(8-1,L133,TRUE),"")</f>
        <v/>
      </c>
      <c r="N133" s="16">
        <f>IFERROR(POISSON(8,L133,FALSE),"")</f>
        <v/>
      </c>
      <c r="O133" s="17">
        <f>IFERROR((1-N133)/M133,"")</f>
        <v/>
      </c>
      <c r="P133" s="18" t="n"/>
      <c r="Q133" s="19">
        <f>IF(P133="","",P133*M133+N133-1)</f>
        <v/>
      </c>
      <c r="R133" s="20">
        <f>IF(Q133="","awaiting price",IF(Q133&gt;='Read me'!$B$7,"BET",IF(Q133&gt;=0,"thin","no bet")))</f>
        <v/>
      </c>
    </row>
    <row r="134">
      <c r="A134" s="11" t="n">
        <v>46301</v>
      </c>
      <c r="B134" s="12" t="inlineStr">
        <is>
          <t>Argentina Liga Profesional</t>
        </is>
      </c>
      <c r="C134" s="12" t="inlineStr">
        <is>
          <t>Banfield v Rosario Central</t>
        </is>
      </c>
      <c r="D134" s="12" t="inlineStr">
        <is>
          <t>Banfield</t>
        </is>
      </c>
      <c r="E134" s="12" t="inlineStr">
        <is>
          <t>Home</t>
        </is>
      </c>
      <c r="F134" s="12" t="inlineStr">
        <is>
          <t>Team under</t>
        </is>
      </c>
      <c r="G134" s="12" t="inlineStr">
        <is>
          <t>under 4 team corners</t>
        </is>
      </c>
      <c r="H134" s="12" t="n">
        <v>3</v>
      </c>
      <c r="I134" s="12" t="n">
        <v>3</v>
      </c>
      <c r="J134" s="12" t="inlineStr">
        <is>
          <t>3/3</t>
        </is>
      </c>
      <c r="K134" s="13" t="n">
        <v>2.4</v>
      </c>
      <c r="L134" s="14" t="n">
        <v>4.57</v>
      </c>
      <c r="M134" s="15">
        <f>IFERROR((EXP(GAMMALN(0+'Read me'!$B$6)-GAMMALN('Read me'!$B$6)-GAMMALN(0+1)+'Read me'!$B$6*LN('Read me'!$B$6/('Read me'!$B$6+L134))+0*LN(L134/('Read me'!$B$6+L134)))+EXP(GAMMALN(1+'Read me'!$B$6)-GAMMALN('Read me'!$B$6)-GAMMALN(1+1)+'Read me'!$B$6*LN('Read me'!$B$6/('Read me'!$B$6+L134))+1*LN(L134/('Read me'!$B$6+L134)))+EXP(GAMMALN(2+'Read me'!$B$6)-GAMMALN('Read me'!$B$6)-GAMMALN(2+1)+'Read me'!$B$6*LN('Read me'!$B$6/('Read me'!$B$6+L134))+2*LN(L134/('Read me'!$B$6+L134)))+EXP(GAMMALN(3+'Read me'!$B$6)-GAMMALN('Read me'!$B$6)-GAMMALN(3+1)+'Read me'!$B$6*LN('Read me'!$B$6/('Read me'!$B$6+L134))+3*LN(L134/('Read me'!$B$6+L134)))),"")</f>
        <v/>
      </c>
      <c r="N134" s="16">
        <f>IFERROR(EXP(GAMMALN(4+'Read me'!$B$6)-GAMMALN('Read me'!$B$6)-GAMMALN(4+1)+'Read me'!$B$6*LN('Read me'!$B$6/('Read me'!$B$6+L134))+4*LN(L134/('Read me'!$B$6+L134))),"")</f>
        <v/>
      </c>
      <c r="O134" s="17">
        <f>IFERROR((1-N134)/M134,"")</f>
        <v/>
      </c>
      <c r="P134" s="18" t="n"/>
      <c r="Q134" s="19">
        <f>IF(P134="","",P134*M134+N134-1)</f>
        <v/>
      </c>
      <c r="R134" s="20">
        <f>IF(Q134="","awaiting price",IF(Q134&gt;='Read me'!$B$7,"BET",IF(Q134&gt;=0,"thin","no bet")))</f>
        <v/>
      </c>
    </row>
    <row r="135">
      <c r="A135" s="11" t="n">
        <v>46302</v>
      </c>
      <c r="B135" s="12" t="inlineStr">
        <is>
          <t>Brazil Série A</t>
        </is>
      </c>
      <c r="C135" s="12" t="inlineStr">
        <is>
          <t>Botafogo v Vasco DA Gama</t>
        </is>
      </c>
      <c r="D135" s="12" t="inlineStr">
        <is>
          <t>Botafogo</t>
        </is>
      </c>
      <c r="E135" s="12" t="inlineStr">
        <is>
          <t>Home</t>
        </is>
      </c>
      <c r="F135" s="12" t="inlineStr">
        <is>
          <t>Team under</t>
        </is>
      </c>
      <c r="G135" s="12" t="inlineStr">
        <is>
          <t>under 5 team corners</t>
        </is>
      </c>
      <c r="H135" s="12" t="n">
        <v>3</v>
      </c>
      <c r="I135" s="12" t="n">
        <v>4</v>
      </c>
      <c r="J135" s="12" t="inlineStr">
        <is>
          <t>3/3</t>
        </is>
      </c>
      <c r="K135" s="13" t="n">
        <v>4</v>
      </c>
      <c r="L135" s="14" t="n">
        <v>5.38</v>
      </c>
      <c r="M135" s="15">
        <f>IFERROR((EXP(GAMMALN(0+'Read me'!$B$6)-GAMMALN('Read me'!$B$6)-GAMMALN(0+1)+'Read me'!$B$6*LN('Read me'!$B$6/('Read me'!$B$6+L135))+0*LN(L135/('Read me'!$B$6+L135)))+EXP(GAMMALN(1+'Read me'!$B$6)-GAMMALN('Read me'!$B$6)-GAMMALN(1+1)+'Read me'!$B$6*LN('Read me'!$B$6/('Read me'!$B$6+L135))+1*LN(L135/('Read me'!$B$6+L135)))+EXP(GAMMALN(2+'Read me'!$B$6)-GAMMALN('Read me'!$B$6)-GAMMALN(2+1)+'Read me'!$B$6*LN('Read me'!$B$6/('Read me'!$B$6+L135))+2*LN(L135/('Read me'!$B$6+L135)))+EXP(GAMMALN(3+'Read me'!$B$6)-GAMMALN('Read me'!$B$6)-GAMMALN(3+1)+'Read me'!$B$6*LN('Read me'!$B$6/('Read me'!$B$6+L135))+3*LN(L135/('Read me'!$B$6+L135)))+EXP(GAMMALN(4+'Read me'!$B$6)-GAMMALN('Read me'!$B$6)-GAMMALN(4+1)+'Read me'!$B$6*LN('Read me'!$B$6/('Read me'!$B$6+L135))+4*LN(L135/('Read me'!$B$6+L135)))),"")</f>
        <v/>
      </c>
      <c r="N135" s="16">
        <f>IFERROR(EXP(GAMMALN(5+'Read me'!$B$6)-GAMMALN('Read me'!$B$6)-GAMMALN(5+1)+'Read me'!$B$6*LN('Read me'!$B$6/('Read me'!$B$6+L135))+5*LN(L135/('Read me'!$B$6+L135))),"")</f>
        <v/>
      </c>
      <c r="O135" s="17">
        <f>IFERROR((1-N135)/M135,"")</f>
        <v/>
      </c>
      <c r="P135" s="18" t="n"/>
      <c r="Q135" s="19">
        <f>IF(P135="","",P135*M135+N135-1)</f>
        <v/>
      </c>
      <c r="R135" s="20">
        <f>IF(Q135="","awaiting price",IF(Q135&gt;='Read me'!$B$7,"BET",IF(Q135&gt;=0,"thin","no bet")))</f>
        <v/>
      </c>
    </row>
    <row r="136">
      <c r="A136" s="11" t="n">
        <v>46302</v>
      </c>
      <c r="B136" s="12" t="inlineStr">
        <is>
          <t>USA MLS</t>
        </is>
      </c>
      <c r="C136" s="12" t="inlineStr">
        <is>
          <t>Chicago Fire v Vancouver Whitecaps</t>
        </is>
      </c>
      <c r="D136" s="12" t="inlineStr">
        <is>
          <t>Vancouver Whitecaps</t>
        </is>
      </c>
      <c r="E136" s="12" t="inlineStr">
        <is>
          <t>Away</t>
        </is>
      </c>
      <c r="F136" s="12" t="inlineStr">
        <is>
          <t>Team under</t>
        </is>
      </c>
      <c r="G136" s="12" t="inlineStr">
        <is>
          <t>under 7 team corners</t>
        </is>
      </c>
      <c r="H136" s="12" t="n">
        <v>3</v>
      </c>
      <c r="I136" s="12" t="n">
        <v>7</v>
      </c>
      <c r="J136" s="12" t="inlineStr">
        <is>
          <t>2/2</t>
        </is>
      </c>
      <c r="K136" s="13" t="n">
        <v>6.6</v>
      </c>
      <c r="L136" s="14" t="n">
        <v>3.94</v>
      </c>
      <c r="M136" s="15">
        <f>IFERROR((EXP(GAMMALN(0+'Read me'!$B$6)-GAMMALN('Read me'!$B$6)-GAMMALN(0+1)+'Read me'!$B$6*LN('Read me'!$B$6/('Read me'!$B$6+L136))+0*LN(L136/('Read me'!$B$6+L136)))+EXP(GAMMALN(1+'Read me'!$B$6)-GAMMALN('Read me'!$B$6)-GAMMALN(1+1)+'Read me'!$B$6*LN('Read me'!$B$6/('Read me'!$B$6+L136))+1*LN(L136/('Read me'!$B$6+L136)))+EXP(GAMMALN(2+'Read me'!$B$6)-GAMMALN('Read me'!$B$6)-GAMMALN(2+1)+'Read me'!$B$6*LN('Read me'!$B$6/('Read me'!$B$6+L136))+2*LN(L136/('Read me'!$B$6+L136)))+EXP(GAMMALN(3+'Read me'!$B$6)-GAMMALN('Read me'!$B$6)-GAMMALN(3+1)+'Read me'!$B$6*LN('Read me'!$B$6/('Read me'!$B$6+L136))+3*LN(L136/('Read me'!$B$6+L136)))+EXP(GAMMALN(4+'Read me'!$B$6)-GAMMALN('Read me'!$B$6)-GAMMALN(4+1)+'Read me'!$B$6*LN('Read me'!$B$6/('Read me'!$B$6+L136))+4*LN(L136/('Read me'!$B$6+L136)))+EXP(GAMMALN(5+'Read me'!$B$6)-GAMMALN('Read me'!$B$6)-GAMMALN(5+1)+'Read me'!$B$6*LN('Read me'!$B$6/('Read me'!$B$6+L136))+5*LN(L136/('Read me'!$B$6+L136)))+EXP(GAMMALN(6+'Read me'!$B$6)-GAMMALN('Read me'!$B$6)-GAMMALN(6+1)+'Read me'!$B$6*LN('Read me'!$B$6/('Read me'!$B$6+L136))+6*LN(L136/('Read me'!$B$6+L136)))),"")</f>
        <v/>
      </c>
      <c r="N136" s="16">
        <f>IFERROR(EXP(GAMMALN(7+'Read me'!$B$6)-GAMMALN('Read me'!$B$6)-GAMMALN(7+1)+'Read me'!$B$6*LN('Read me'!$B$6/('Read me'!$B$6+L136))+7*LN(L136/('Read me'!$B$6+L136))),"")</f>
        <v/>
      </c>
      <c r="O136" s="17">
        <f>IFERROR((1-N136)/M136,"")</f>
        <v/>
      </c>
      <c r="P136" s="18" t="n"/>
      <c r="Q136" s="19">
        <f>IF(P136="","",P136*M136+N136-1)</f>
        <v/>
      </c>
      <c r="R136" s="20">
        <f>IF(Q136="","awaiting price",IF(Q136&gt;='Read me'!$B$7,"BET",IF(Q136&gt;=0,"thin","no bet")))</f>
        <v/>
      </c>
    </row>
    <row r="137">
      <c r="A137" s="11" t="n">
        <v>46298</v>
      </c>
      <c r="B137" s="12" t="inlineStr">
        <is>
          <t>Brazil Série B</t>
        </is>
      </c>
      <c r="C137" s="12" t="inlineStr">
        <is>
          <t>Atletico Goianiense v America Mineiro</t>
        </is>
      </c>
      <c r="D137" s="12" t="inlineStr">
        <is>
          <t>America Mineiro</t>
        </is>
      </c>
      <c r="E137" s="12" t="inlineStr">
        <is>
          <t>Away</t>
        </is>
      </c>
      <c r="F137" s="12" t="inlineStr">
        <is>
          <t>Team under</t>
        </is>
      </c>
      <c r="G137" s="12" t="inlineStr">
        <is>
          <t>under 5 team corners</t>
        </is>
      </c>
      <c r="H137" s="12" t="n">
        <v>2</v>
      </c>
      <c r="I137" s="12" t="n">
        <v>3</v>
      </c>
      <c r="J137" s="12" t="inlineStr">
        <is>
          <t>2/2</t>
        </is>
      </c>
      <c r="K137" s="13" t="n">
        <v>4.2</v>
      </c>
      <c r="L137" s="14" t="n">
        <v>4.4</v>
      </c>
      <c r="M137" s="15">
        <f>IFERROR((EXP(GAMMALN(0+'Read me'!$B$6)-GAMMALN('Read me'!$B$6)-GAMMALN(0+1)+'Read me'!$B$6*LN('Read me'!$B$6/('Read me'!$B$6+L137))+0*LN(L137/('Read me'!$B$6+L137)))+EXP(GAMMALN(1+'Read me'!$B$6)-GAMMALN('Read me'!$B$6)-GAMMALN(1+1)+'Read me'!$B$6*LN('Read me'!$B$6/('Read me'!$B$6+L137))+1*LN(L137/('Read me'!$B$6+L137)))+EXP(GAMMALN(2+'Read me'!$B$6)-GAMMALN('Read me'!$B$6)-GAMMALN(2+1)+'Read me'!$B$6*LN('Read me'!$B$6/('Read me'!$B$6+L137))+2*LN(L137/('Read me'!$B$6+L137)))+EXP(GAMMALN(3+'Read me'!$B$6)-GAMMALN('Read me'!$B$6)-GAMMALN(3+1)+'Read me'!$B$6*LN('Read me'!$B$6/('Read me'!$B$6+L137))+3*LN(L137/('Read me'!$B$6+L137)))+EXP(GAMMALN(4+'Read me'!$B$6)-GAMMALN('Read me'!$B$6)-GAMMALN(4+1)+'Read me'!$B$6*LN('Read me'!$B$6/('Read me'!$B$6+L137))+4*LN(L137/('Read me'!$B$6+L137)))),"")</f>
        <v/>
      </c>
      <c r="N137" s="16">
        <f>IFERROR(EXP(GAMMALN(5+'Read me'!$B$6)-GAMMALN('Read me'!$B$6)-GAMMALN(5+1)+'Read me'!$B$6*LN('Read me'!$B$6/('Read me'!$B$6+L137))+5*LN(L137/('Read me'!$B$6+L137))),"")</f>
        <v/>
      </c>
      <c r="O137" s="17">
        <f>IFERROR((1-N137)/M137,"")</f>
        <v/>
      </c>
      <c r="P137" s="18" t="n"/>
      <c r="Q137" s="19">
        <f>IF(P137="","",P137*M137+N137-1)</f>
        <v/>
      </c>
      <c r="R137" s="20">
        <f>IF(Q137="","awaiting price",IF(Q137&gt;='Read me'!$B$7,"BET",IF(Q137&gt;=0,"thin","no bet")))</f>
        <v/>
      </c>
    </row>
    <row r="138">
      <c r="A138" s="11" t="n">
        <v>46299</v>
      </c>
      <c r="B138" s="12" t="inlineStr">
        <is>
          <t>Netherlands Eerste Divisie</t>
        </is>
      </c>
      <c r="C138" s="12" t="inlineStr">
        <is>
          <t>VVV Venlo v Roda</t>
        </is>
      </c>
      <c r="D138" s="12" t="inlineStr">
        <is>
          <t>Roda</t>
        </is>
      </c>
      <c r="E138" s="12" t="inlineStr">
        <is>
          <t>Away</t>
        </is>
      </c>
      <c r="F138" s="12" t="inlineStr">
        <is>
          <t>Match under</t>
        </is>
      </c>
      <c r="G138" s="12" t="inlineStr">
        <is>
          <t>under 9 match corners</t>
        </is>
      </c>
      <c r="H138" s="12" t="n">
        <v>2</v>
      </c>
      <c r="I138" s="12" t="n">
        <v>2</v>
      </c>
      <c r="J138" s="12" t="inlineStr">
        <is>
          <t>2/2</t>
        </is>
      </c>
      <c r="K138" s="13" t="n">
        <v>8.199999999999999</v>
      </c>
      <c r="L138" s="14" t="n">
        <v>10.11</v>
      </c>
      <c r="M138" s="15">
        <f>IFERROR(POISSON(9-1,L138,TRUE),"")</f>
        <v/>
      </c>
      <c r="N138" s="16">
        <f>IFERROR(POISSON(9,L138,FALSE),"")</f>
        <v/>
      </c>
      <c r="O138" s="17">
        <f>IFERROR((1-N138)/M138,"")</f>
        <v/>
      </c>
      <c r="P138" s="18" t="n"/>
      <c r="Q138" s="19">
        <f>IF(P138="","",P138*M138+N138-1)</f>
        <v/>
      </c>
      <c r="R138" s="20">
        <f>IF(Q138="","awaiting price",IF(Q138&gt;='Read me'!$B$7,"BET",IF(Q138&gt;=0,"thin","no bet")))</f>
        <v/>
      </c>
    </row>
  </sheetData>
  <autoFilter ref="A1:R138"/>
  <dataValidations count="1">
    <dataValidation sqref="P2:P138" showDropDown="0" showInputMessage="0" showErrorMessage="1" allowBlank="1" errorTitle="Decimal odds" error="Enter decimal odds above 1.00 (e.g. 1.83), not fractional." type="decimal" operator="greaterThan">
      <formula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0" customWidth="1" min="4" max="4"/>
    <col width="7" customWidth="1" min="5" max="5"/>
    <col width="20" customWidth="1" min="6" max="6"/>
    <col width="8" customWidth="1" min="7" max="7"/>
    <col width="11" customWidth="1" min="8" max="8"/>
    <col width="7" customWidth="1" min="9" max="9"/>
    <col width="7" customWidth="1" min="10" max="10"/>
    <col width="8" customWidth="1" min="11" max="11"/>
    <col width="7" customWidth="1" min="12" max="12"/>
    <col width="7" customWidth="1" min="13" max="13"/>
    <col width="8" customWidth="1" min="14" max="14"/>
    <col width="8" customWidth="1" min="15" max="15"/>
    <col width="13" customWidth="1" min="16" max="16"/>
  </cols>
  <sheetData>
    <row r="1">
      <c r="A1" s="10" t="inlineStr">
        <is>
          <t>Date</t>
        </is>
      </c>
      <c r="B1" s="10" t="inlineStr">
        <is>
          <t>League</t>
        </is>
      </c>
      <c r="C1" s="10" t="inlineStr">
        <is>
          <t>Fixture</t>
        </is>
      </c>
      <c r="D1" s="10" t="inlineStr">
        <is>
          <t>Team</t>
        </is>
      </c>
      <c r="E1" s="10" t="inlineStr">
        <is>
          <t>Side</t>
        </is>
      </c>
      <c r="F1" s="10" t="inlineStr">
        <is>
          <t>Bet</t>
        </is>
      </c>
      <c r="G1" s="10" t="inlineStr">
        <is>
          <t>Team/g</t>
        </is>
      </c>
      <c r="H1" s="10" t="inlineStr">
        <is>
          <t>Opp conc/g</t>
        </is>
      </c>
      <c r="I1" s="10" t="inlineStr">
        <is>
          <t>λ</t>
        </is>
      </c>
      <c r="J1" s="10" t="inlineStr">
        <is>
          <t>Run</t>
        </is>
      </c>
      <c r="K1" s="10" t="inlineStr">
        <is>
          <t>Prob</t>
        </is>
      </c>
      <c r="L1" s="10" t="inlineStr">
        <is>
          <t>Void</t>
        </is>
      </c>
      <c r="M1" s="10" t="inlineStr">
        <is>
          <t>Fair</t>
        </is>
      </c>
      <c r="N1" s="10" t="inlineStr">
        <is>
          <t>Book</t>
        </is>
      </c>
      <c r="O1" s="10" t="inlineStr">
        <is>
          <t>EV</t>
        </is>
      </c>
      <c r="P1" s="10" t="inlineStr">
        <is>
          <t>Verdict</t>
        </is>
      </c>
    </row>
    <row r="2">
      <c r="A2" s="11" t="n">
        <v>46297</v>
      </c>
      <c r="B2" s="12" t="inlineStr">
        <is>
          <t>Brazil Série A</t>
        </is>
      </c>
      <c r="C2" s="12" t="inlineStr">
        <is>
          <t>Sao Paulo v Santos</t>
        </is>
      </c>
      <c r="D2" s="12" t="inlineStr">
        <is>
          <t>Sao Paulo</t>
        </is>
      </c>
      <c r="E2" s="12" t="inlineStr">
        <is>
          <t>Home</t>
        </is>
      </c>
      <c r="F2" s="12" t="inlineStr">
        <is>
          <t>6+ team corners</t>
        </is>
      </c>
      <c r="G2" s="14" t="n">
        <v>8.6</v>
      </c>
      <c r="H2" s="14" t="n">
        <v>5.9</v>
      </c>
      <c r="I2" s="14" t="n">
        <v>7.44</v>
      </c>
      <c r="J2" s="12" t="n">
        <v>7</v>
      </c>
      <c r="K2" s="15">
        <f>IFERROR(1-(EXP(GAMMALN(0+'Read me'!$B$6)-GAMMALN('Read me'!$B$6)-GAMMALN(0+1)+'Read me'!$B$6*LN('Read me'!$B$6/('Read me'!$B$6+I2))+0*LN(I2/('Read me'!$B$6+I2)))+EXP(GAMMALN(1+'Read me'!$B$6)-GAMMALN('Read me'!$B$6)-GAMMALN(1+1)+'Read me'!$B$6*LN('Read me'!$B$6/('Read me'!$B$6+I2))+1*LN(I2/('Read me'!$B$6+I2)))+EXP(GAMMALN(2+'Read me'!$B$6)-GAMMALN('Read me'!$B$6)-GAMMALN(2+1)+'Read me'!$B$6*LN('Read me'!$B$6/('Read me'!$B$6+I2))+2*LN(I2/('Read me'!$B$6+I2)))+EXP(GAMMALN(3+'Read me'!$B$6)-GAMMALN('Read me'!$B$6)-GAMMALN(3+1)+'Read me'!$B$6*LN('Read me'!$B$6/('Read me'!$B$6+I2))+3*LN(I2/('Read me'!$B$6+I2)))+EXP(GAMMALN(4+'Read me'!$B$6)-GAMMALN('Read me'!$B$6)-GAMMALN(4+1)+'Read me'!$B$6*LN('Read me'!$B$6/('Read me'!$B$6+I2))+4*LN(I2/('Read me'!$B$6+I2)))+EXP(GAMMALN(5+'Read me'!$B$6)-GAMMALN('Read me'!$B$6)-GAMMALN(5+1)+'Read me'!$B$6*LN('Read me'!$B$6/('Read me'!$B$6+I2))+5*LN(I2/('Read me'!$B$6+I2)))),"")</f>
        <v/>
      </c>
      <c r="L2" s="16" t="n">
        <v>0</v>
      </c>
      <c r="M2" s="17">
        <f>IFERROR(1/K2,"")</f>
        <v/>
      </c>
      <c r="N2" s="18" t="n"/>
      <c r="O2" s="19">
        <f>IF(N2="","",N2*K2-1)</f>
        <v/>
      </c>
      <c r="P2" s="20">
        <f>IF(O2="","awaiting price",IF(O2&gt;='Read me'!$B$7,"BET",IF(O2&gt;=0,"thin","no bet")))</f>
        <v/>
      </c>
    </row>
    <row r="3">
      <c r="A3" s="11" t="n">
        <v>46297</v>
      </c>
      <c r="B3" s="12" t="inlineStr">
        <is>
          <t>Brazil Série B</t>
        </is>
      </c>
      <c r="C3" s="12" t="inlineStr">
        <is>
          <t>Novorizontino v Goias</t>
        </is>
      </c>
      <c r="D3" s="12" t="inlineStr">
        <is>
          <t>Novorizontino</t>
        </is>
      </c>
      <c r="E3" s="12" t="inlineStr">
        <is>
          <t>Home</t>
        </is>
      </c>
      <c r="F3" s="12" t="inlineStr">
        <is>
          <t>6+ team corners</t>
        </is>
      </c>
      <c r="G3" s="14" t="n">
        <v>8</v>
      </c>
      <c r="H3" s="14" t="n">
        <v>5.9</v>
      </c>
      <c r="I3" s="14" t="n">
        <v>7.32</v>
      </c>
      <c r="J3" s="12" t="n">
        <v>13</v>
      </c>
      <c r="K3" s="15">
        <f>IFERROR(1-(EXP(GAMMALN(0+'Read me'!$B$6)-GAMMALN('Read me'!$B$6)-GAMMALN(0+1)+'Read me'!$B$6*LN('Read me'!$B$6/('Read me'!$B$6+I3))+0*LN(I3/('Read me'!$B$6+I3)))+EXP(GAMMALN(1+'Read me'!$B$6)-GAMMALN('Read me'!$B$6)-GAMMALN(1+1)+'Read me'!$B$6*LN('Read me'!$B$6/('Read me'!$B$6+I3))+1*LN(I3/('Read me'!$B$6+I3)))+EXP(GAMMALN(2+'Read me'!$B$6)-GAMMALN('Read me'!$B$6)-GAMMALN(2+1)+'Read me'!$B$6*LN('Read me'!$B$6/('Read me'!$B$6+I3))+2*LN(I3/('Read me'!$B$6+I3)))+EXP(GAMMALN(3+'Read me'!$B$6)-GAMMALN('Read me'!$B$6)-GAMMALN(3+1)+'Read me'!$B$6*LN('Read me'!$B$6/('Read me'!$B$6+I3))+3*LN(I3/('Read me'!$B$6+I3)))+EXP(GAMMALN(4+'Read me'!$B$6)-GAMMALN('Read me'!$B$6)-GAMMALN(4+1)+'Read me'!$B$6*LN('Read me'!$B$6/('Read me'!$B$6+I3))+4*LN(I3/('Read me'!$B$6+I3)))+EXP(GAMMALN(5+'Read me'!$B$6)-GAMMALN('Read me'!$B$6)-GAMMALN(5+1)+'Read me'!$B$6*LN('Read me'!$B$6/('Read me'!$B$6+I3))+5*LN(I3/('Read me'!$B$6+I3)))),"")</f>
        <v/>
      </c>
      <c r="L3" s="16" t="n">
        <v>0</v>
      </c>
      <c r="M3" s="17">
        <f>IFERROR(1/K3,"")</f>
        <v/>
      </c>
      <c r="N3" s="18" t="n"/>
      <c r="O3" s="19">
        <f>IF(N3="","",N3*K3-1)</f>
        <v/>
      </c>
      <c r="P3" s="20">
        <f>IF(O3="","awaiting price",IF(O3&gt;='Read me'!$B$7,"BET",IF(O3&gt;=0,"thin","no bet")))</f>
        <v/>
      </c>
    </row>
    <row r="4">
      <c r="A4" s="11" t="n">
        <v>46298</v>
      </c>
      <c r="B4" s="12" t="inlineStr">
        <is>
          <t>Netherlands Eerste Divisie</t>
        </is>
      </c>
      <c r="C4" s="12" t="inlineStr">
        <is>
          <t>FC OSS v MVV</t>
        </is>
      </c>
      <c r="D4" s="12" t="inlineStr">
        <is>
          <t>FC OSS</t>
        </is>
      </c>
      <c r="E4" s="12" t="inlineStr">
        <is>
          <t>Home</t>
        </is>
      </c>
      <c r="F4" s="12" t="inlineStr">
        <is>
          <t>6+ team corners</t>
        </is>
      </c>
      <c r="G4" s="14" t="n">
        <v>5.56</v>
      </c>
      <c r="H4" s="14" t="n">
        <v>8.779999999999999</v>
      </c>
      <c r="I4" s="14" t="n">
        <v>7.15</v>
      </c>
      <c r="J4" s="12" t="n"/>
      <c r="K4" s="15">
        <f>IFERROR(1-(EXP(GAMMALN(0+'Read me'!$B$6)-GAMMALN('Read me'!$B$6)-GAMMALN(0+1)+'Read me'!$B$6*LN('Read me'!$B$6/('Read me'!$B$6+I4))+0*LN(I4/('Read me'!$B$6+I4)))+EXP(GAMMALN(1+'Read me'!$B$6)-GAMMALN('Read me'!$B$6)-GAMMALN(1+1)+'Read me'!$B$6*LN('Read me'!$B$6/('Read me'!$B$6+I4))+1*LN(I4/('Read me'!$B$6+I4)))+EXP(GAMMALN(2+'Read me'!$B$6)-GAMMALN('Read me'!$B$6)-GAMMALN(2+1)+'Read me'!$B$6*LN('Read me'!$B$6/('Read me'!$B$6+I4))+2*LN(I4/('Read me'!$B$6+I4)))+EXP(GAMMALN(3+'Read me'!$B$6)-GAMMALN('Read me'!$B$6)-GAMMALN(3+1)+'Read me'!$B$6*LN('Read me'!$B$6/('Read me'!$B$6+I4))+3*LN(I4/('Read me'!$B$6+I4)))+EXP(GAMMALN(4+'Read me'!$B$6)-GAMMALN('Read me'!$B$6)-GAMMALN(4+1)+'Read me'!$B$6*LN('Read me'!$B$6/('Read me'!$B$6+I4))+4*LN(I4/('Read me'!$B$6+I4)))+EXP(GAMMALN(5+'Read me'!$B$6)-GAMMALN('Read me'!$B$6)-GAMMALN(5+1)+'Read me'!$B$6*LN('Read me'!$B$6/('Read me'!$B$6+I4))+5*LN(I4/('Read me'!$B$6+I4)))),"")</f>
        <v/>
      </c>
      <c r="L4" s="16" t="n">
        <v>0</v>
      </c>
      <c r="M4" s="17">
        <f>IFERROR(1/K4,"")</f>
        <v/>
      </c>
      <c r="N4" s="18" t="n"/>
      <c r="O4" s="19">
        <f>IF(N4="","",N4*K4-1)</f>
        <v/>
      </c>
      <c r="P4" s="20">
        <f>IF(O4="","awaiting price",IF(O4&gt;='Read me'!$B$7,"BET",IF(O4&gt;=0,"thin","no bet")))</f>
        <v/>
      </c>
    </row>
    <row r="5">
      <c r="A5" s="11" t="n">
        <v>46298</v>
      </c>
      <c r="B5" s="12" t="inlineStr">
        <is>
          <t>Brazil Série B</t>
        </is>
      </c>
      <c r="C5" s="12" t="inlineStr">
        <is>
          <t>Atletico Goianiense v America Mineiro</t>
        </is>
      </c>
      <c r="D5" s="12" t="inlineStr">
        <is>
          <t>Atletico Goianiense</t>
        </is>
      </c>
      <c r="E5" s="12" t="inlineStr">
        <is>
          <t>Home</t>
        </is>
      </c>
      <c r="F5" s="12" t="inlineStr">
        <is>
          <t>6+ team corners</t>
        </is>
      </c>
      <c r="G5" s="14" t="n">
        <v>6.5</v>
      </c>
      <c r="H5" s="14" t="n">
        <v>6.5</v>
      </c>
      <c r="I5" s="14" t="n">
        <v>6.72</v>
      </c>
      <c r="J5" s="12" t="n">
        <v>7</v>
      </c>
      <c r="K5" s="15">
        <f>IFERROR(1-(EXP(GAMMALN(0+'Read me'!$B$6)-GAMMALN('Read me'!$B$6)-GAMMALN(0+1)+'Read me'!$B$6*LN('Read me'!$B$6/('Read me'!$B$6+I5))+0*LN(I5/('Read me'!$B$6+I5)))+EXP(GAMMALN(1+'Read me'!$B$6)-GAMMALN('Read me'!$B$6)-GAMMALN(1+1)+'Read me'!$B$6*LN('Read me'!$B$6/('Read me'!$B$6+I5))+1*LN(I5/('Read me'!$B$6+I5)))+EXP(GAMMALN(2+'Read me'!$B$6)-GAMMALN('Read me'!$B$6)-GAMMALN(2+1)+'Read me'!$B$6*LN('Read me'!$B$6/('Read me'!$B$6+I5))+2*LN(I5/('Read me'!$B$6+I5)))+EXP(GAMMALN(3+'Read me'!$B$6)-GAMMALN('Read me'!$B$6)-GAMMALN(3+1)+'Read me'!$B$6*LN('Read me'!$B$6/('Read me'!$B$6+I5))+3*LN(I5/('Read me'!$B$6+I5)))+EXP(GAMMALN(4+'Read me'!$B$6)-GAMMALN('Read me'!$B$6)-GAMMALN(4+1)+'Read me'!$B$6*LN('Read me'!$B$6/('Read me'!$B$6+I5))+4*LN(I5/('Read me'!$B$6+I5)))+EXP(GAMMALN(5+'Read me'!$B$6)-GAMMALN('Read me'!$B$6)-GAMMALN(5+1)+'Read me'!$B$6*LN('Read me'!$B$6/('Read me'!$B$6+I5))+5*LN(I5/('Read me'!$B$6+I5)))),"")</f>
        <v/>
      </c>
      <c r="L5" s="16" t="n">
        <v>0</v>
      </c>
      <c r="M5" s="17">
        <f>IFERROR(1/K5,"")</f>
        <v/>
      </c>
      <c r="N5" s="18" t="n"/>
      <c r="O5" s="19">
        <f>IF(N5="","",N5*K5-1)</f>
        <v/>
      </c>
      <c r="P5" s="20">
        <f>IF(O5="","awaiting price",IF(O5&gt;='Read me'!$B$7,"BET",IF(O5&gt;=0,"thin","no bet")))</f>
        <v/>
      </c>
    </row>
    <row r="6">
      <c r="A6" s="11" t="n">
        <v>46298</v>
      </c>
      <c r="B6" s="12" t="inlineStr">
        <is>
          <t>Brazil Série B</t>
        </is>
      </c>
      <c r="C6" s="12" t="inlineStr">
        <is>
          <t>Cuiaba v Ponte Preta</t>
        </is>
      </c>
      <c r="D6" s="12" t="inlineStr">
        <is>
          <t>Cuiaba</t>
        </is>
      </c>
      <c r="E6" s="12" t="inlineStr">
        <is>
          <t>Home</t>
        </is>
      </c>
      <c r="F6" s="12" t="inlineStr">
        <is>
          <t>6+ team corners</t>
        </is>
      </c>
      <c r="G6" s="14" t="n">
        <v>6.1</v>
      </c>
      <c r="H6" s="14" t="n">
        <v>6.8</v>
      </c>
      <c r="I6" s="14" t="n">
        <v>6.66</v>
      </c>
      <c r="J6" s="12" t="n"/>
      <c r="K6" s="15">
        <f>IFERROR(1-(EXP(GAMMALN(0+'Read me'!$B$6)-GAMMALN('Read me'!$B$6)-GAMMALN(0+1)+'Read me'!$B$6*LN('Read me'!$B$6/('Read me'!$B$6+I6))+0*LN(I6/('Read me'!$B$6+I6)))+EXP(GAMMALN(1+'Read me'!$B$6)-GAMMALN('Read me'!$B$6)-GAMMALN(1+1)+'Read me'!$B$6*LN('Read me'!$B$6/('Read me'!$B$6+I6))+1*LN(I6/('Read me'!$B$6+I6)))+EXP(GAMMALN(2+'Read me'!$B$6)-GAMMALN('Read me'!$B$6)-GAMMALN(2+1)+'Read me'!$B$6*LN('Read me'!$B$6/('Read me'!$B$6+I6))+2*LN(I6/('Read me'!$B$6+I6)))+EXP(GAMMALN(3+'Read me'!$B$6)-GAMMALN('Read me'!$B$6)-GAMMALN(3+1)+'Read me'!$B$6*LN('Read me'!$B$6/('Read me'!$B$6+I6))+3*LN(I6/('Read me'!$B$6+I6)))+EXP(GAMMALN(4+'Read me'!$B$6)-GAMMALN('Read me'!$B$6)-GAMMALN(4+1)+'Read me'!$B$6*LN('Read me'!$B$6/('Read me'!$B$6+I6))+4*LN(I6/('Read me'!$B$6+I6)))+EXP(GAMMALN(5+'Read me'!$B$6)-GAMMALN('Read me'!$B$6)-GAMMALN(5+1)+'Read me'!$B$6*LN('Read me'!$B$6/('Read me'!$B$6+I6))+5*LN(I6/('Read me'!$B$6+I6)))),"")</f>
        <v/>
      </c>
      <c r="L6" s="16" t="n">
        <v>0</v>
      </c>
      <c r="M6" s="17">
        <f>IFERROR(1/K6,"")</f>
        <v/>
      </c>
      <c r="N6" s="18" t="n"/>
      <c r="O6" s="19">
        <f>IF(N6="","",N6*K6-1)</f>
        <v/>
      </c>
      <c r="P6" s="20">
        <f>IF(O6="","awaiting price",IF(O6&gt;='Read me'!$B$7,"BET",IF(O6&gt;=0,"thin","no bet")))</f>
        <v/>
      </c>
    </row>
    <row r="7">
      <c r="A7" s="11" t="n">
        <v>46298</v>
      </c>
      <c r="B7" s="12" t="inlineStr">
        <is>
          <t>Brazil Série A</t>
        </is>
      </c>
      <c r="C7" s="12" t="inlineStr">
        <is>
          <t>Atletico-MG v RB Bragantino</t>
        </is>
      </c>
      <c r="D7" s="12" t="inlineStr">
        <is>
          <t>Atletico-MG</t>
        </is>
      </c>
      <c r="E7" s="12" t="inlineStr">
        <is>
          <t>Home</t>
        </is>
      </c>
      <c r="F7" s="12" t="inlineStr">
        <is>
          <t>6+ team corners</t>
        </is>
      </c>
      <c r="G7" s="14" t="n">
        <v>6.11</v>
      </c>
      <c r="H7" s="14" t="n">
        <v>6.5</v>
      </c>
      <c r="I7" s="14" t="n">
        <v>6.61</v>
      </c>
      <c r="J7" s="12" t="n"/>
      <c r="K7" s="15">
        <f>IFERROR(1-(EXP(GAMMALN(0+'Read me'!$B$6)-GAMMALN('Read me'!$B$6)-GAMMALN(0+1)+'Read me'!$B$6*LN('Read me'!$B$6/('Read me'!$B$6+I7))+0*LN(I7/('Read me'!$B$6+I7)))+EXP(GAMMALN(1+'Read me'!$B$6)-GAMMALN('Read me'!$B$6)-GAMMALN(1+1)+'Read me'!$B$6*LN('Read me'!$B$6/('Read me'!$B$6+I7))+1*LN(I7/('Read me'!$B$6+I7)))+EXP(GAMMALN(2+'Read me'!$B$6)-GAMMALN('Read me'!$B$6)-GAMMALN(2+1)+'Read me'!$B$6*LN('Read me'!$B$6/('Read me'!$B$6+I7))+2*LN(I7/('Read me'!$B$6+I7)))+EXP(GAMMALN(3+'Read me'!$B$6)-GAMMALN('Read me'!$B$6)-GAMMALN(3+1)+'Read me'!$B$6*LN('Read me'!$B$6/('Read me'!$B$6+I7))+3*LN(I7/('Read me'!$B$6+I7)))+EXP(GAMMALN(4+'Read me'!$B$6)-GAMMALN('Read me'!$B$6)-GAMMALN(4+1)+'Read me'!$B$6*LN('Read me'!$B$6/('Read me'!$B$6+I7))+4*LN(I7/('Read me'!$B$6+I7)))+EXP(GAMMALN(5+'Read me'!$B$6)-GAMMALN('Read me'!$B$6)-GAMMALN(5+1)+'Read me'!$B$6*LN('Read me'!$B$6/('Read me'!$B$6+I7))+5*LN(I7/('Read me'!$B$6+I7)))),"")</f>
        <v/>
      </c>
      <c r="L7" s="16" t="n">
        <v>0</v>
      </c>
      <c r="M7" s="17">
        <f>IFERROR(1/K7,"")</f>
        <v/>
      </c>
      <c r="N7" s="18" t="n"/>
      <c r="O7" s="19">
        <f>IF(N7="","",N7*K7-1)</f>
        <v/>
      </c>
      <c r="P7" s="20">
        <f>IF(O7="","awaiting price",IF(O7&gt;='Read me'!$B$7,"BET",IF(O7&gt;=0,"thin","no bet")))</f>
        <v/>
      </c>
    </row>
    <row r="8">
      <c r="A8" s="11" t="n">
        <v>46298</v>
      </c>
      <c r="B8" s="12" t="inlineStr">
        <is>
          <t>England League One</t>
        </is>
      </c>
      <c r="C8" s="12" t="inlineStr">
        <is>
          <t>Leyton Orient v Plymouth</t>
        </is>
      </c>
      <c r="D8" s="12" t="inlineStr">
        <is>
          <t>Plymouth</t>
        </is>
      </c>
      <c r="E8" s="12" t="inlineStr">
        <is>
          <t>Away</t>
        </is>
      </c>
      <c r="F8" s="12" t="inlineStr">
        <is>
          <t>5+ team corners</t>
        </is>
      </c>
      <c r="G8" s="14" t="n">
        <v>6.3</v>
      </c>
      <c r="H8" s="14" t="n">
        <v>5.8</v>
      </c>
      <c r="I8" s="14" t="n">
        <v>6.37</v>
      </c>
      <c r="J8" s="12" t="n">
        <v>19</v>
      </c>
      <c r="K8" s="15">
        <f>IFERROR(1-(EXP(GAMMALN(0+'Read me'!$B$6)-GAMMALN('Read me'!$B$6)-GAMMALN(0+1)+'Read me'!$B$6*LN('Read me'!$B$6/('Read me'!$B$6+I8))+0*LN(I8/('Read me'!$B$6+I8)))+EXP(GAMMALN(1+'Read me'!$B$6)-GAMMALN('Read me'!$B$6)-GAMMALN(1+1)+'Read me'!$B$6*LN('Read me'!$B$6/('Read me'!$B$6+I8))+1*LN(I8/('Read me'!$B$6+I8)))+EXP(GAMMALN(2+'Read me'!$B$6)-GAMMALN('Read me'!$B$6)-GAMMALN(2+1)+'Read me'!$B$6*LN('Read me'!$B$6/('Read me'!$B$6+I8))+2*LN(I8/('Read me'!$B$6+I8)))+EXP(GAMMALN(3+'Read me'!$B$6)-GAMMALN('Read me'!$B$6)-GAMMALN(3+1)+'Read me'!$B$6*LN('Read me'!$B$6/('Read me'!$B$6+I8))+3*LN(I8/('Read me'!$B$6+I8)))+EXP(GAMMALN(4+'Read me'!$B$6)-GAMMALN('Read me'!$B$6)-GAMMALN(4+1)+'Read me'!$B$6*LN('Read me'!$B$6/('Read me'!$B$6+I8))+4*LN(I8/('Read me'!$B$6+I8)))),"")</f>
        <v/>
      </c>
      <c r="L8" s="16" t="n">
        <v>0</v>
      </c>
      <c r="M8" s="17">
        <f>IFERROR(1/K8,"")</f>
        <v/>
      </c>
      <c r="N8" s="18" t="n"/>
      <c r="O8" s="19">
        <f>IF(N8="","",N8*K8-1)</f>
        <v/>
      </c>
      <c r="P8" s="20">
        <f>IF(O8="","awaiting price",IF(O8&gt;='Read me'!$B$7,"BET",IF(O8&gt;=0,"thin","no bet")))</f>
        <v/>
      </c>
    </row>
    <row r="9">
      <c r="A9" s="11" t="n">
        <v>46298</v>
      </c>
      <c r="B9" s="12" t="inlineStr">
        <is>
          <t>England League Two</t>
        </is>
      </c>
      <c r="C9" s="12" t="inlineStr">
        <is>
          <t>Salford City v Fleetwood Town</t>
        </is>
      </c>
      <c r="D9" s="12" t="inlineStr">
        <is>
          <t>Salford City</t>
        </is>
      </c>
      <c r="E9" s="12" t="inlineStr">
        <is>
          <t>Home</t>
        </is>
      </c>
      <c r="F9" s="12" t="inlineStr">
        <is>
          <t>5+ team corners</t>
        </is>
      </c>
      <c r="G9" s="14" t="n">
        <v>6.22</v>
      </c>
      <c r="H9" s="14" t="n">
        <v>5.7</v>
      </c>
      <c r="I9" s="14" t="n">
        <v>6.03</v>
      </c>
      <c r="J9" s="12" t="n">
        <v>18</v>
      </c>
      <c r="K9" s="15">
        <f>IFERROR(1-(EXP(GAMMALN(0+'Read me'!$B$6)-GAMMALN('Read me'!$B$6)-GAMMALN(0+1)+'Read me'!$B$6*LN('Read me'!$B$6/('Read me'!$B$6+I9))+0*LN(I9/('Read me'!$B$6+I9)))+EXP(GAMMALN(1+'Read me'!$B$6)-GAMMALN('Read me'!$B$6)-GAMMALN(1+1)+'Read me'!$B$6*LN('Read me'!$B$6/('Read me'!$B$6+I9))+1*LN(I9/('Read me'!$B$6+I9)))+EXP(GAMMALN(2+'Read me'!$B$6)-GAMMALN('Read me'!$B$6)-GAMMALN(2+1)+'Read me'!$B$6*LN('Read me'!$B$6/('Read me'!$B$6+I9))+2*LN(I9/('Read me'!$B$6+I9)))+EXP(GAMMALN(3+'Read me'!$B$6)-GAMMALN('Read me'!$B$6)-GAMMALN(3+1)+'Read me'!$B$6*LN('Read me'!$B$6/('Read me'!$B$6+I9))+3*LN(I9/('Read me'!$B$6+I9)))+EXP(GAMMALN(4+'Read me'!$B$6)-GAMMALN('Read me'!$B$6)-GAMMALN(4+1)+'Read me'!$B$6*LN('Read me'!$B$6/('Read me'!$B$6+I9))+4*LN(I9/('Read me'!$B$6+I9)))),"")</f>
        <v/>
      </c>
      <c r="L9" s="16" t="n">
        <v>0</v>
      </c>
      <c r="M9" s="17">
        <f>IFERROR(1/K9,"")</f>
        <v/>
      </c>
      <c r="N9" s="18" t="n"/>
      <c r="O9" s="19">
        <f>IF(N9="","",N9*K9-1)</f>
        <v/>
      </c>
      <c r="P9" s="20">
        <f>IF(O9="","awaiting price",IF(O9&gt;='Read me'!$B$7,"BET",IF(O9&gt;=0,"thin","no bet")))</f>
        <v/>
      </c>
    </row>
    <row r="10">
      <c r="A10" s="11" t="n">
        <v>46303</v>
      </c>
      <c r="B10" s="12" t="inlineStr">
        <is>
          <t>Brazil Série A</t>
        </is>
      </c>
      <c r="C10" s="12" t="inlineStr">
        <is>
          <t>Atletico Paranaense v Atletico-MG</t>
        </is>
      </c>
      <c r="D10" s="12" t="inlineStr">
        <is>
          <t>Atletico Paranaense</t>
        </is>
      </c>
      <c r="E10" s="12" t="inlineStr">
        <is>
          <t>Home</t>
        </is>
      </c>
      <c r="F10" s="12" t="inlineStr">
        <is>
          <t>5+ team corners</t>
        </is>
      </c>
      <c r="G10" s="14" t="n">
        <v>5.89</v>
      </c>
      <c r="H10" s="14" t="n">
        <v>5.91</v>
      </c>
      <c r="I10" s="14" t="n">
        <v>6.02</v>
      </c>
      <c r="J10" s="12" t="n"/>
      <c r="K10" s="15">
        <f>IFERROR(1-(EXP(GAMMALN(0+'Read me'!$B$6)-GAMMALN('Read me'!$B$6)-GAMMALN(0+1)+'Read me'!$B$6*LN('Read me'!$B$6/('Read me'!$B$6+I10))+0*LN(I10/('Read me'!$B$6+I10)))+EXP(GAMMALN(1+'Read me'!$B$6)-GAMMALN('Read me'!$B$6)-GAMMALN(1+1)+'Read me'!$B$6*LN('Read me'!$B$6/('Read me'!$B$6+I10))+1*LN(I10/('Read me'!$B$6+I10)))+EXP(GAMMALN(2+'Read me'!$B$6)-GAMMALN('Read me'!$B$6)-GAMMALN(2+1)+'Read me'!$B$6*LN('Read me'!$B$6/('Read me'!$B$6+I10))+2*LN(I10/('Read me'!$B$6+I10)))+EXP(GAMMALN(3+'Read me'!$B$6)-GAMMALN('Read me'!$B$6)-GAMMALN(3+1)+'Read me'!$B$6*LN('Read me'!$B$6/('Read me'!$B$6+I10))+3*LN(I10/('Read me'!$B$6+I10)))+EXP(GAMMALN(4+'Read me'!$B$6)-GAMMALN('Read me'!$B$6)-GAMMALN(4+1)+'Read me'!$B$6*LN('Read me'!$B$6/('Read me'!$B$6+I10))+4*LN(I10/('Read me'!$B$6+I10)))),"")</f>
        <v/>
      </c>
      <c r="L10" s="16" t="n">
        <v>0</v>
      </c>
      <c r="M10" s="17">
        <f>IFERROR(1/K10,"")</f>
        <v/>
      </c>
      <c r="N10" s="18" t="n"/>
      <c r="O10" s="19">
        <f>IF(N10="","",N10*K10-1)</f>
        <v/>
      </c>
      <c r="P10" s="20">
        <f>IF(O10="","awaiting price",IF(O10&gt;='Read me'!$B$7,"BET",IF(O10&gt;=0,"thin","no bet")))</f>
        <v/>
      </c>
    </row>
    <row r="11">
      <c r="A11" s="11" t="n">
        <v>46298</v>
      </c>
      <c r="B11" s="12" t="inlineStr">
        <is>
          <t>England League Two</t>
        </is>
      </c>
      <c r="C11" s="12" t="inlineStr">
        <is>
          <t>Chesterfield v Tranmere</t>
        </is>
      </c>
      <c r="D11" s="12" t="inlineStr">
        <is>
          <t>Chesterfield</t>
        </is>
      </c>
      <c r="E11" s="12" t="inlineStr">
        <is>
          <t>Home</t>
        </is>
      </c>
      <c r="F11" s="12" t="inlineStr">
        <is>
          <t>5+ team corners</t>
        </is>
      </c>
      <c r="G11" s="14" t="n">
        <v>6</v>
      </c>
      <c r="H11" s="14" t="n">
        <v>5.6</v>
      </c>
      <c r="I11" s="14" t="n">
        <v>5.95</v>
      </c>
      <c r="J11" s="12" t="n">
        <v>5</v>
      </c>
      <c r="K11" s="15">
        <f>IFERROR(1-(EXP(GAMMALN(0+'Read me'!$B$6)-GAMMALN('Read me'!$B$6)-GAMMALN(0+1)+'Read me'!$B$6*LN('Read me'!$B$6/('Read me'!$B$6+I11))+0*LN(I11/('Read me'!$B$6+I11)))+EXP(GAMMALN(1+'Read me'!$B$6)-GAMMALN('Read me'!$B$6)-GAMMALN(1+1)+'Read me'!$B$6*LN('Read me'!$B$6/('Read me'!$B$6+I11))+1*LN(I11/('Read me'!$B$6+I11)))+EXP(GAMMALN(2+'Read me'!$B$6)-GAMMALN('Read me'!$B$6)-GAMMALN(2+1)+'Read me'!$B$6*LN('Read me'!$B$6/('Read me'!$B$6+I11))+2*LN(I11/('Read me'!$B$6+I11)))+EXP(GAMMALN(3+'Read me'!$B$6)-GAMMALN('Read me'!$B$6)-GAMMALN(3+1)+'Read me'!$B$6*LN('Read me'!$B$6/('Read me'!$B$6+I11))+3*LN(I11/('Read me'!$B$6+I11)))+EXP(GAMMALN(4+'Read me'!$B$6)-GAMMALN('Read me'!$B$6)-GAMMALN(4+1)+'Read me'!$B$6*LN('Read me'!$B$6/('Read me'!$B$6+I11))+4*LN(I11/('Read me'!$B$6+I11)))),"")</f>
        <v/>
      </c>
      <c r="L11" s="16" t="n">
        <v>0</v>
      </c>
      <c r="M11" s="17">
        <f>IFERROR(1/K11,"")</f>
        <v/>
      </c>
      <c r="N11" s="18" t="n"/>
      <c r="O11" s="19">
        <f>IF(N11="","",N11*K11-1)</f>
        <v/>
      </c>
      <c r="P11" s="20">
        <f>IF(O11="","awaiting price",IF(O11&gt;='Read me'!$B$7,"BET",IF(O11&gt;=0,"thin","no bet")))</f>
        <v/>
      </c>
    </row>
  </sheetData>
  <autoFilter ref="A1:P11"/>
  <dataValidations count="1">
    <dataValidation sqref="N2:N11" showDropDown="0" showInputMessage="0" showErrorMessage="1" allowBlank="1" errorTitle="Decimal odds" error="Enter decimal odds above 1.00 (e.g. 1.83), not fractional." type="decimal" operator="greaterThan">
      <formula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7"/>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0" customWidth="1" min="4" max="4"/>
    <col width="7" customWidth="1" min="5" max="5"/>
    <col width="20" customWidth="1" min="6" max="6"/>
    <col width="11" customWidth="1" min="7" max="7"/>
    <col width="12" customWidth="1" min="8" max="8"/>
    <col width="11" customWidth="1" min="9" max="9"/>
    <col width="10" customWidth="1" min="10" max="10"/>
    <col width="7" customWidth="1" min="11" max="11"/>
    <col width="8" customWidth="1" min="12" max="12"/>
    <col width="7" customWidth="1" min="13" max="13"/>
    <col width="7" customWidth="1" min="14" max="14"/>
    <col width="8" customWidth="1" min="15" max="15"/>
    <col width="8" customWidth="1" min="16" max="16"/>
    <col width="13" customWidth="1" min="17" max="17"/>
  </cols>
  <sheetData>
    <row r="1">
      <c r="A1" s="10" t="inlineStr">
        <is>
          <t>Date</t>
        </is>
      </c>
      <c r="B1" s="10" t="inlineStr">
        <is>
          <t>League</t>
        </is>
      </c>
      <c r="C1" s="10" t="inlineStr">
        <is>
          <t>Fixture</t>
        </is>
      </c>
      <c r="D1" s="10" t="inlineStr">
        <is>
          <t>Team</t>
        </is>
      </c>
      <c r="E1" s="10" t="inlineStr">
        <is>
          <t>Side</t>
        </is>
      </c>
      <c r="F1" s="10" t="inlineStr">
        <is>
          <t>Bet</t>
        </is>
      </c>
      <c r="G1" s="10" t="inlineStr">
        <is>
          <t>Team W/g (venue)</t>
        </is>
      </c>
      <c r="H1" s="10" t="inlineStr">
        <is>
          <t>Opp conc/g (venue)</t>
        </is>
      </c>
      <c r="I1" s="10" t="inlineStr">
        <is>
          <t>L5 hits (overall)</t>
        </is>
      </c>
      <c r="J1" s="10" t="inlineStr">
        <is>
          <t>Chase score</t>
        </is>
      </c>
      <c r="K1" s="10" t="inlineStr">
        <is>
          <t>λ</t>
        </is>
      </c>
      <c r="L1" s="10" t="inlineStr">
        <is>
          <t>Prob</t>
        </is>
      </c>
      <c r="M1" s="10" t="inlineStr">
        <is>
          <t>Void</t>
        </is>
      </c>
      <c r="N1" s="10" t="inlineStr">
        <is>
          <t>Fair</t>
        </is>
      </c>
      <c r="O1" s="10" t="inlineStr">
        <is>
          <t>Book</t>
        </is>
      </c>
      <c r="P1" s="10" t="inlineStr">
        <is>
          <t>EV</t>
        </is>
      </c>
      <c r="Q1" s="10" t="inlineStr">
        <is>
          <t>Verdict</t>
        </is>
      </c>
    </row>
    <row r="2">
      <c r="A2" s="11" t="n">
        <v>46297</v>
      </c>
      <c r="B2" s="12" t="inlineStr">
        <is>
          <t>Brazil Série B</t>
        </is>
      </c>
      <c r="C2" s="12" t="inlineStr">
        <is>
          <t>Novorizontino v Goias</t>
        </is>
      </c>
      <c r="D2" s="12" t="inlineStr">
        <is>
          <t>Novorizontino</t>
        </is>
      </c>
      <c r="E2" s="12" t="inlineStr">
        <is>
          <t>Home</t>
        </is>
      </c>
      <c r="F2" s="12" t="inlineStr">
        <is>
          <t>6+ team corners</t>
        </is>
      </c>
      <c r="G2" s="14" t="n">
        <v>8</v>
      </c>
      <c r="H2" s="14" t="n">
        <v>5.9</v>
      </c>
      <c r="I2" s="12" t="inlineStr">
        <is>
          <t>4/5</t>
        </is>
      </c>
      <c r="J2" s="17">
        <f>K2*(0.6+0.4*4/5)</f>
        <v/>
      </c>
      <c r="K2" s="14" t="n">
        <v>7.32</v>
      </c>
      <c r="L2" s="15">
        <f>IFERROR(1-(EXP(GAMMALN(0+'Read me'!$B$6)-GAMMALN('Read me'!$B$6)-GAMMALN(0+1)+'Read me'!$B$6*LN('Read me'!$B$6/('Read me'!$B$6+K2))+0*LN(K2/('Read me'!$B$6+K2)))+EXP(GAMMALN(1+'Read me'!$B$6)-GAMMALN('Read me'!$B$6)-GAMMALN(1+1)+'Read me'!$B$6*LN('Read me'!$B$6/('Read me'!$B$6+K2))+1*LN(K2/('Read me'!$B$6+K2)))+EXP(GAMMALN(2+'Read me'!$B$6)-GAMMALN('Read me'!$B$6)-GAMMALN(2+1)+'Read me'!$B$6*LN('Read me'!$B$6/('Read me'!$B$6+K2))+2*LN(K2/('Read me'!$B$6+K2)))+EXP(GAMMALN(3+'Read me'!$B$6)-GAMMALN('Read me'!$B$6)-GAMMALN(3+1)+'Read me'!$B$6*LN('Read me'!$B$6/('Read me'!$B$6+K2))+3*LN(K2/('Read me'!$B$6+K2)))+EXP(GAMMALN(4+'Read me'!$B$6)-GAMMALN('Read me'!$B$6)-GAMMALN(4+1)+'Read me'!$B$6*LN('Read me'!$B$6/('Read me'!$B$6+K2))+4*LN(K2/('Read me'!$B$6+K2)))+EXP(GAMMALN(5+'Read me'!$B$6)-GAMMALN('Read me'!$B$6)-GAMMALN(5+1)+'Read me'!$B$6*LN('Read me'!$B$6/('Read me'!$B$6+K2))+5*LN(K2/('Read me'!$B$6+K2)))),"")</f>
        <v/>
      </c>
      <c r="M2" s="16" t="n">
        <v>0</v>
      </c>
      <c r="N2" s="17">
        <f>IFERROR(1/L2,"")</f>
        <v/>
      </c>
      <c r="O2" s="18" t="n"/>
      <c r="P2" s="19">
        <f>IF(O2="","",O2*L2-1)</f>
        <v/>
      </c>
      <c r="Q2" s="20">
        <f>IF(P2="","awaiting price",IF(P2&gt;='Read me'!$B$7,"BET",IF(P2&gt;=0,"thin","no bet")))</f>
        <v/>
      </c>
    </row>
    <row r="3">
      <c r="A3" s="11" t="n">
        <v>46302</v>
      </c>
      <c r="B3" s="12" t="inlineStr">
        <is>
          <t>Brazil Série A</t>
        </is>
      </c>
      <c r="C3" s="12" t="inlineStr">
        <is>
          <t>RB Bragantino v Mirassol</t>
        </is>
      </c>
      <c r="D3" s="12" t="inlineStr">
        <is>
          <t>RB Bragantino</t>
        </is>
      </c>
      <c r="E3" s="12" t="inlineStr">
        <is>
          <t>Home</t>
        </is>
      </c>
      <c r="F3" s="12" t="inlineStr">
        <is>
          <t>7+ team corners</t>
        </is>
      </c>
      <c r="G3" s="14" t="n">
        <v>7</v>
      </c>
      <c r="H3" s="14" t="n">
        <v>7.89</v>
      </c>
      <c r="I3" s="12" t="inlineStr">
        <is>
          <t>3/5</t>
        </is>
      </c>
      <c r="J3" s="17">
        <f>K3*(0.6+0.4*3/5)</f>
        <v/>
      </c>
      <c r="K3" s="14" t="n">
        <v>7.84</v>
      </c>
      <c r="L3" s="15">
        <f>IFERROR(1-(EXP(GAMMALN(0+'Read me'!$B$6)-GAMMALN('Read me'!$B$6)-GAMMALN(0+1)+'Read me'!$B$6*LN('Read me'!$B$6/('Read me'!$B$6+K3))+0*LN(K3/('Read me'!$B$6+K3)))+EXP(GAMMALN(1+'Read me'!$B$6)-GAMMALN('Read me'!$B$6)-GAMMALN(1+1)+'Read me'!$B$6*LN('Read me'!$B$6/('Read me'!$B$6+K3))+1*LN(K3/('Read me'!$B$6+K3)))+EXP(GAMMALN(2+'Read me'!$B$6)-GAMMALN('Read me'!$B$6)-GAMMALN(2+1)+'Read me'!$B$6*LN('Read me'!$B$6/('Read me'!$B$6+K3))+2*LN(K3/('Read me'!$B$6+K3)))+EXP(GAMMALN(3+'Read me'!$B$6)-GAMMALN('Read me'!$B$6)-GAMMALN(3+1)+'Read me'!$B$6*LN('Read me'!$B$6/('Read me'!$B$6+K3))+3*LN(K3/('Read me'!$B$6+K3)))+EXP(GAMMALN(4+'Read me'!$B$6)-GAMMALN('Read me'!$B$6)-GAMMALN(4+1)+'Read me'!$B$6*LN('Read me'!$B$6/('Read me'!$B$6+K3))+4*LN(K3/('Read me'!$B$6+K3)))+EXP(GAMMALN(5+'Read me'!$B$6)-GAMMALN('Read me'!$B$6)-GAMMALN(5+1)+'Read me'!$B$6*LN('Read me'!$B$6/('Read me'!$B$6+K3))+5*LN(K3/('Read me'!$B$6+K3)))+EXP(GAMMALN(6+'Read me'!$B$6)-GAMMALN('Read me'!$B$6)-GAMMALN(6+1)+'Read me'!$B$6*LN('Read me'!$B$6/('Read me'!$B$6+K3))+6*LN(K3/('Read me'!$B$6+K3)))),"")</f>
        <v/>
      </c>
      <c r="M3" s="16" t="n">
        <v>0</v>
      </c>
      <c r="N3" s="17">
        <f>IFERROR(1/L3,"")</f>
        <v/>
      </c>
      <c r="O3" s="18" t="n"/>
      <c r="P3" s="19">
        <f>IF(O3="","",O3*L3-1)</f>
        <v/>
      </c>
      <c r="Q3" s="20">
        <f>IF(P3="","awaiting price",IF(P3&gt;='Read me'!$B$7,"BET",IF(P3&gt;=0,"thin","no bet")))</f>
        <v/>
      </c>
    </row>
    <row r="4">
      <c r="A4" s="11" t="n">
        <v>46297</v>
      </c>
      <c r="B4" s="12" t="inlineStr">
        <is>
          <t>Brazil Série A</t>
        </is>
      </c>
      <c r="C4" s="12" t="inlineStr">
        <is>
          <t>Sao Paulo v Santos</t>
        </is>
      </c>
      <c r="D4" s="12" t="inlineStr">
        <is>
          <t>Sao Paulo</t>
        </is>
      </c>
      <c r="E4" s="12" t="inlineStr">
        <is>
          <t>Home</t>
        </is>
      </c>
      <c r="F4" s="12" t="inlineStr">
        <is>
          <t>6+ team corners</t>
        </is>
      </c>
      <c r="G4" s="14" t="n">
        <v>8.6</v>
      </c>
      <c r="H4" s="14" t="n">
        <v>5.9</v>
      </c>
      <c r="I4" s="12" t="inlineStr">
        <is>
          <t>3/5</t>
        </is>
      </c>
      <c r="J4" s="17">
        <f>K4*(0.6+0.4*3/5)</f>
        <v/>
      </c>
      <c r="K4" s="14" t="n">
        <v>7.44</v>
      </c>
      <c r="L4" s="15">
        <f>IFERROR(1-(EXP(GAMMALN(0+'Read me'!$B$6)-GAMMALN('Read me'!$B$6)-GAMMALN(0+1)+'Read me'!$B$6*LN('Read me'!$B$6/('Read me'!$B$6+K4))+0*LN(K4/('Read me'!$B$6+K4)))+EXP(GAMMALN(1+'Read me'!$B$6)-GAMMALN('Read me'!$B$6)-GAMMALN(1+1)+'Read me'!$B$6*LN('Read me'!$B$6/('Read me'!$B$6+K4))+1*LN(K4/('Read me'!$B$6+K4)))+EXP(GAMMALN(2+'Read me'!$B$6)-GAMMALN('Read me'!$B$6)-GAMMALN(2+1)+'Read me'!$B$6*LN('Read me'!$B$6/('Read me'!$B$6+K4))+2*LN(K4/('Read me'!$B$6+K4)))+EXP(GAMMALN(3+'Read me'!$B$6)-GAMMALN('Read me'!$B$6)-GAMMALN(3+1)+'Read me'!$B$6*LN('Read me'!$B$6/('Read me'!$B$6+K4))+3*LN(K4/('Read me'!$B$6+K4)))+EXP(GAMMALN(4+'Read me'!$B$6)-GAMMALN('Read me'!$B$6)-GAMMALN(4+1)+'Read me'!$B$6*LN('Read me'!$B$6/('Read me'!$B$6+K4))+4*LN(K4/('Read me'!$B$6+K4)))+EXP(GAMMALN(5+'Read me'!$B$6)-GAMMALN('Read me'!$B$6)-GAMMALN(5+1)+'Read me'!$B$6*LN('Read me'!$B$6/('Read me'!$B$6+K4))+5*LN(K4/('Read me'!$B$6+K4)))),"")</f>
        <v/>
      </c>
      <c r="M4" s="16" t="n">
        <v>0</v>
      </c>
      <c r="N4" s="17">
        <f>IFERROR(1/L4,"")</f>
        <v/>
      </c>
      <c r="O4" s="18" t="n"/>
      <c r="P4" s="19">
        <f>IF(O4="","",O4*L4-1)</f>
        <v/>
      </c>
      <c r="Q4" s="20">
        <f>IF(P4="","awaiting price",IF(P4&gt;='Read me'!$B$7,"BET",IF(P4&gt;=0,"thin","no bet")))</f>
        <v/>
      </c>
    </row>
    <row r="5">
      <c r="A5" s="11" t="n">
        <v>46302</v>
      </c>
      <c r="B5" s="12" t="inlineStr">
        <is>
          <t>Brazil Série A</t>
        </is>
      </c>
      <c r="C5" s="12" t="inlineStr">
        <is>
          <t>Vitoria v Chapecoense-sc</t>
        </is>
      </c>
      <c r="D5" s="12" t="inlineStr">
        <is>
          <t>Vitoria</t>
        </is>
      </c>
      <c r="E5" s="12" t="inlineStr">
        <is>
          <t>Home</t>
        </is>
      </c>
      <c r="F5" s="12" t="inlineStr">
        <is>
          <t>5+ team corners</t>
        </is>
      </c>
      <c r="G5" s="14" t="n">
        <v>4.9</v>
      </c>
      <c r="H5" s="14" t="n">
        <v>7.27</v>
      </c>
      <c r="I5" s="12" t="inlineStr">
        <is>
          <t>5/5</t>
        </is>
      </c>
      <c r="J5" s="17">
        <f>K5*(0.6+0.4*5/5)</f>
        <v/>
      </c>
      <c r="K5" s="14" t="n">
        <v>6.23</v>
      </c>
      <c r="L5" s="15">
        <f>IFERROR(1-(EXP(GAMMALN(0+'Read me'!$B$6)-GAMMALN('Read me'!$B$6)-GAMMALN(0+1)+'Read me'!$B$6*LN('Read me'!$B$6/('Read me'!$B$6+K5))+0*LN(K5/('Read me'!$B$6+K5)))+EXP(GAMMALN(1+'Read me'!$B$6)-GAMMALN('Read me'!$B$6)-GAMMALN(1+1)+'Read me'!$B$6*LN('Read me'!$B$6/('Read me'!$B$6+K5))+1*LN(K5/('Read me'!$B$6+K5)))+EXP(GAMMALN(2+'Read me'!$B$6)-GAMMALN('Read me'!$B$6)-GAMMALN(2+1)+'Read me'!$B$6*LN('Read me'!$B$6/('Read me'!$B$6+K5))+2*LN(K5/('Read me'!$B$6+K5)))+EXP(GAMMALN(3+'Read me'!$B$6)-GAMMALN('Read me'!$B$6)-GAMMALN(3+1)+'Read me'!$B$6*LN('Read me'!$B$6/('Read me'!$B$6+K5))+3*LN(K5/('Read me'!$B$6+K5)))+EXP(GAMMALN(4+'Read me'!$B$6)-GAMMALN('Read me'!$B$6)-GAMMALN(4+1)+'Read me'!$B$6*LN('Read me'!$B$6/('Read me'!$B$6+K5))+4*LN(K5/('Read me'!$B$6+K5)))),"")</f>
        <v/>
      </c>
      <c r="M5" s="16" t="n">
        <v>0</v>
      </c>
      <c r="N5" s="17">
        <f>IFERROR(1/L5,"")</f>
        <v/>
      </c>
      <c r="O5" s="18" t="n"/>
      <c r="P5" s="19">
        <f>IF(O5="","",O5*L5-1)</f>
        <v/>
      </c>
      <c r="Q5" s="20">
        <f>IF(P5="","awaiting price",IF(P5&gt;='Read me'!$B$7,"BET",IF(P5&gt;=0,"thin","no bet")))</f>
        <v/>
      </c>
    </row>
    <row r="6">
      <c r="A6" s="11" t="n">
        <v>46297</v>
      </c>
      <c r="B6" s="12" t="inlineStr">
        <is>
          <t>Netherlands Eerste Divisie</t>
        </is>
      </c>
      <c r="C6" s="12" t="inlineStr">
        <is>
          <t>Helmond Sport v Heracles</t>
        </is>
      </c>
      <c r="D6" s="12" t="inlineStr">
        <is>
          <t>Heracles</t>
        </is>
      </c>
      <c r="E6" s="12" t="inlineStr">
        <is>
          <t>Away</t>
        </is>
      </c>
      <c r="F6" s="12" t="inlineStr">
        <is>
          <t>5+ team corners</t>
        </is>
      </c>
      <c r="G6" s="14" t="n">
        <v>7.5</v>
      </c>
      <c r="H6" s="14" t="n">
        <v>3.89</v>
      </c>
      <c r="I6" s="12" t="inlineStr">
        <is>
          <t>5/5</t>
        </is>
      </c>
      <c r="J6" s="17">
        <f>K6*(0.6+0.4*5/5)</f>
        <v/>
      </c>
      <c r="K6" s="14" t="n">
        <v>6.02</v>
      </c>
      <c r="L6" s="15">
        <f>IFERROR(1-(EXP(GAMMALN(0+'Read me'!$B$6)-GAMMALN('Read me'!$B$6)-GAMMALN(0+1)+'Read me'!$B$6*LN('Read me'!$B$6/('Read me'!$B$6+K6))+0*LN(K6/('Read me'!$B$6+K6)))+EXP(GAMMALN(1+'Read me'!$B$6)-GAMMALN('Read me'!$B$6)-GAMMALN(1+1)+'Read me'!$B$6*LN('Read me'!$B$6/('Read me'!$B$6+K6))+1*LN(K6/('Read me'!$B$6+K6)))+EXP(GAMMALN(2+'Read me'!$B$6)-GAMMALN('Read me'!$B$6)-GAMMALN(2+1)+'Read me'!$B$6*LN('Read me'!$B$6/('Read me'!$B$6+K6))+2*LN(K6/('Read me'!$B$6+K6)))+EXP(GAMMALN(3+'Read me'!$B$6)-GAMMALN('Read me'!$B$6)-GAMMALN(3+1)+'Read me'!$B$6*LN('Read me'!$B$6/('Read me'!$B$6+K6))+3*LN(K6/('Read me'!$B$6+K6)))+EXP(GAMMALN(4+'Read me'!$B$6)-GAMMALN('Read me'!$B$6)-GAMMALN(4+1)+'Read me'!$B$6*LN('Read me'!$B$6/('Read me'!$B$6+K6))+4*LN(K6/('Read me'!$B$6+K6)))),"")</f>
        <v/>
      </c>
      <c r="M6" s="16" t="n">
        <v>0</v>
      </c>
      <c r="N6" s="17">
        <f>IFERROR(1/L6,"")</f>
        <v/>
      </c>
      <c r="O6" s="18" t="n"/>
      <c r="P6" s="19">
        <f>IF(O6="","",O6*L6-1)</f>
        <v/>
      </c>
      <c r="Q6" s="20">
        <f>IF(P6="","awaiting price",IF(P6&gt;='Read me'!$B$7,"BET",IF(P6&gt;=0,"thin","no bet")))</f>
        <v/>
      </c>
    </row>
    <row r="7">
      <c r="A7" s="11" t="n">
        <v>46298</v>
      </c>
      <c r="B7" s="12" t="inlineStr">
        <is>
          <t>Netherlands Eerste Divisie</t>
        </is>
      </c>
      <c r="C7" s="12" t="inlineStr">
        <is>
          <t>Den Bosch v Dordrecht</t>
        </is>
      </c>
      <c r="D7" s="12" t="inlineStr">
        <is>
          <t>Den Bosch</t>
        </is>
      </c>
      <c r="E7" s="12" t="inlineStr">
        <is>
          <t>Home</t>
        </is>
      </c>
      <c r="F7" s="12" t="inlineStr">
        <is>
          <t>5+ team corners</t>
        </is>
      </c>
      <c r="G7" s="14" t="n">
        <v>6.6</v>
      </c>
      <c r="H7" s="14" t="n">
        <v>4.67</v>
      </c>
      <c r="I7" s="12" t="inlineStr">
        <is>
          <t>5/5</t>
        </is>
      </c>
      <c r="J7" s="17">
        <f>K7*(0.6+0.4*5/5)</f>
        <v/>
      </c>
      <c r="K7" s="14" t="n">
        <v>5.87</v>
      </c>
      <c r="L7" s="15">
        <f>IFERROR(1-(EXP(GAMMALN(0+'Read me'!$B$6)-GAMMALN('Read me'!$B$6)-GAMMALN(0+1)+'Read me'!$B$6*LN('Read me'!$B$6/('Read me'!$B$6+K7))+0*LN(K7/('Read me'!$B$6+K7)))+EXP(GAMMALN(1+'Read me'!$B$6)-GAMMALN('Read me'!$B$6)-GAMMALN(1+1)+'Read me'!$B$6*LN('Read me'!$B$6/('Read me'!$B$6+K7))+1*LN(K7/('Read me'!$B$6+K7)))+EXP(GAMMALN(2+'Read me'!$B$6)-GAMMALN('Read me'!$B$6)-GAMMALN(2+1)+'Read me'!$B$6*LN('Read me'!$B$6/('Read me'!$B$6+K7))+2*LN(K7/('Read me'!$B$6+K7)))+EXP(GAMMALN(3+'Read me'!$B$6)-GAMMALN('Read me'!$B$6)-GAMMALN(3+1)+'Read me'!$B$6*LN('Read me'!$B$6/('Read me'!$B$6+K7))+3*LN(K7/('Read me'!$B$6+K7)))+EXP(GAMMALN(4+'Read me'!$B$6)-GAMMALN('Read me'!$B$6)-GAMMALN(4+1)+'Read me'!$B$6*LN('Read me'!$B$6/('Read me'!$B$6+K7))+4*LN(K7/('Read me'!$B$6+K7)))),"")</f>
        <v/>
      </c>
      <c r="M7" s="16" t="n">
        <v>0</v>
      </c>
      <c r="N7" s="17">
        <f>IFERROR(1/L7,"")</f>
        <v/>
      </c>
      <c r="O7" s="18" t="n"/>
      <c r="P7" s="19">
        <f>IF(O7="","",O7*L7-1)</f>
        <v/>
      </c>
      <c r="Q7" s="20">
        <f>IF(P7="","awaiting price",IF(P7&gt;='Read me'!$B$7,"BET",IF(P7&gt;=0,"thin","no bet")))</f>
        <v/>
      </c>
    </row>
    <row r="8">
      <c r="A8" s="11" t="n">
        <v>46297</v>
      </c>
      <c r="B8" s="12" t="inlineStr">
        <is>
          <t>Brazil Série B</t>
        </is>
      </c>
      <c r="C8" s="12" t="inlineStr">
        <is>
          <t>São Bernardo v CRB</t>
        </is>
      </c>
      <c r="D8" s="12" t="inlineStr">
        <is>
          <t>CRB</t>
        </is>
      </c>
      <c r="E8" s="12" t="inlineStr">
        <is>
          <t>Away</t>
        </is>
      </c>
      <c r="F8" s="12" t="inlineStr">
        <is>
          <t>5+ team corners</t>
        </is>
      </c>
      <c r="G8" s="14" t="n">
        <v>5.4</v>
      </c>
      <c r="H8" s="14" t="n">
        <v>5.8</v>
      </c>
      <c r="I8" s="12" t="inlineStr">
        <is>
          <t>5/5</t>
        </is>
      </c>
      <c r="J8" s="17">
        <f>K8*(0.6+0.4*5/5)</f>
        <v/>
      </c>
      <c r="K8" s="14" t="n">
        <v>5.83</v>
      </c>
      <c r="L8" s="15">
        <f>IFERROR(1-(EXP(GAMMALN(0+'Read me'!$B$6)-GAMMALN('Read me'!$B$6)-GAMMALN(0+1)+'Read me'!$B$6*LN('Read me'!$B$6/('Read me'!$B$6+K8))+0*LN(K8/('Read me'!$B$6+K8)))+EXP(GAMMALN(1+'Read me'!$B$6)-GAMMALN('Read me'!$B$6)-GAMMALN(1+1)+'Read me'!$B$6*LN('Read me'!$B$6/('Read me'!$B$6+K8))+1*LN(K8/('Read me'!$B$6+K8)))+EXP(GAMMALN(2+'Read me'!$B$6)-GAMMALN('Read me'!$B$6)-GAMMALN(2+1)+'Read me'!$B$6*LN('Read me'!$B$6/('Read me'!$B$6+K8))+2*LN(K8/('Read me'!$B$6+K8)))+EXP(GAMMALN(3+'Read me'!$B$6)-GAMMALN('Read me'!$B$6)-GAMMALN(3+1)+'Read me'!$B$6*LN('Read me'!$B$6/('Read me'!$B$6+K8))+3*LN(K8/('Read me'!$B$6+K8)))+EXP(GAMMALN(4+'Read me'!$B$6)-GAMMALN('Read me'!$B$6)-GAMMALN(4+1)+'Read me'!$B$6*LN('Read me'!$B$6/('Read me'!$B$6+K8))+4*LN(K8/('Read me'!$B$6+K8)))),"")</f>
        <v/>
      </c>
      <c r="M8" s="16" t="n">
        <v>0</v>
      </c>
      <c r="N8" s="17">
        <f>IFERROR(1/L8,"")</f>
        <v/>
      </c>
      <c r="O8" s="18" t="n"/>
      <c r="P8" s="19">
        <f>IF(O8="","",O8*L8-1)</f>
        <v/>
      </c>
      <c r="Q8" s="20">
        <f>IF(P8="","awaiting price",IF(P8&gt;='Read me'!$B$7,"BET",IF(P8&gt;=0,"thin","no bet")))</f>
        <v/>
      </c>
    </row>
    <row r="9">
      <c r="A9" s="11" t="n">
        <v>46301</v>
      </c>
      <c r="B9" s="12" t="inlineStr">
        <is>
          <t>Brazil Série B</t>
        </is>
      </c>
      <c r="C9" s="12" t="inlineStr">
        <is>
          <t>Goias v Athletic Club</t>
        </is>
      </c>
      <c r="D9" s="12" t="inlineStr">
        <is>
          <t>Goias</t>
        </is>
      </c>
      <c r="E9" s="12" t="inlineStr">
        <is>
          <t>Home</t>
        </is>
      </c>
      <c r="F9" s="12" t="inlineStr">
        <is>
          <t>5+ team corners</t>
        </is>
      </c>
      <c r="G9" s="14" t="n">
        <v>6.1</v>
      </c>
      <c r="H9" s="14" t="n">
        <v>5</v>
      </c>
      <c r="I9" s="12" t="inlineStr">
        <is>
          <t>5/5</t>
        </is>
      </c>
      <c r="J9" s="17">
        <f>K9*(0.6+0.4*5/5)</f>
        <v/>
      </c>
      <c r="K9" s="14" t="n">
        <v>5.71</v>
      </c>
      <c r="L9" s="15">
        <f>IFERROR(1-(EXP(GAMMALN(0+'Read me'!$B$6)-GAMMALN('Read me'!$B$6)-GAMMALN(0+1)+'Read me'!$B$6*LN('Read me'!$B$6/('Read me'!$B$6+K9))+0*LN(K9/('Read me'!$B$6+K9)))+EXP(GAMMALN(1+'Read me'!$B$6)-GAMMALN('Read me'!$B$6)-GAMMALN(1+1)+'Read me'!$B$6*LN('Read me'!$B$6/('Read me'!$B$6+K9))+1*LN(K9/('Read me'!$B$6+K9)))+EXP(GAMMALN(2+'Read me'!$B$6)-GAMMALN('Read me'!$B$6)-GAMMALN(2+1)+'Read me'!$B$6*LN('Read me'!$B$6/('Read me'!$B$6+K9))+2*LN(K9/('Read me'!$B$6+K9)))+EXP(GAMMALN(3+'Read me'!$B$6)-GAMMALN('Read me'!$B$6)-GAMMALN(3+1)+'Read me'!$B$6*LN('Read me'!$B$6/('Read me'!$B$6+K9))+3*LN(K9/('Read me'!$B$6+K9)))+EXP(GAMMALN(4+'Read me'!$B$6)-GAMMALN('Read me'!$B$6)-GAMMALN(4+1)+'Read me'!$B$6*LN('Read me'!$B$6/('Read me'!$B$6+K9))+4*LN(K9/('Read me'!$B$6+K9)))),"")</f>
        <v/>
      </c>
      <c r="M9" s="16" t="n">
        <v>0</v>
      </c>
      <c r="N9" s="17">
        <f>IFERROR(1/L9,"")</f>
        <v/>
      </c>
      <c r="O9" s="18" t="n"/>
      <c r="P9" s="19">
        <f>IF(O9="","",O9*L9-1)</f>
        <v/>
      </c>
      <c r="Q9" s="20">
        <f>IF(P9="","awaiting price",IF(P9&gt;='Read me'!$B$7,"BET",IF(P9&gt;=0,"thin","no bet")))</f>
        <v/>
      </c>
    </row>
    <row r="10">
      <c r="A10" s="11" t="n">
        <v>46302</v>
      </c>
      <c r="B10" s="12" t="inlineStr">
        <is>
          <t>Brazil Série B</t>
        </is>
      </c>
      <c r="C10" s="12" t="inlineStr">
        <is>
          <t>CRB v Atletico Goianiense</t>
        </is>
      </c>
      <c r="D10" s="12" t="inlineStr">
        <is>
          <t>CRB</t>
        </is>
      </c>
      <c r="E10" s="12" t="inlineStr">
        <is>
          <t>Home</t>
        </is>
      </c>
      <c r="F10" s="12" t="inlineStr">
        <is>
          <t>5+ team corners</t>
        </is>
      </c>
      <c r="G10" s="14" t="n">
        <v>5.7</v>
      </c>
      <c r="H10" s="14" t="n">
        <v>5</v>
      </c>
      <c r="I10" s="12" t="inlineStr">
        <is>
          <t>5/5</t>
        </is>
      </c>
      <c r="J10" s="17">
        <f>K10*(0.6+0.4*5/5)</f>
        <v/>
      </c>
      <c r="K10" s="14" t="n">
        <v>5.67</v>
      </c>
      <c r="L10" s="15">
        <f>IFERROR(1-(EXP(GAMMALN(0+'Read me'!$B$6)-GAMMALN('Read me'!$B$6)-GAMMALN(0+1)+'Read me'!$B$6*LN('Read me'!$B$6/('Read me'!$B$6+K10))+0*LN(K10/('Read me'!$B$6+K10)))+EXP(GAMMALN(1+'Read me'!$B$6)-GAMMALN('Read me'!$B$6)-GAMMALN(1+1)+'Read me'!$B$6*LN('Read me'!$B$6/('Read me'!$B$6+K10))+1*LN(K10/('Read me'!$B$6+K10)))+EXP(GAMMALN(2+'Read me'!$B$6)-GAMMALN('Read me'!$B$6)-GAMMALN(2+1)+'Read me'!$B$6*LN('Read me'!$B$6/('Read me'!$B$6+K10))+2*LN(K10/('Read me'!$B$6+K10)))+EXP(GAMMALN(3+'Read me'!$B$6)-GAMMALN('Read me'!$B$6)-GAMMALN(3+1)+'Read me'!$B$6*LN('Read me'!$B$6/('Read me'!$B$6+K10))+3*LN(K10/('Read me'!$B$6+K10)))+EXP(GAMMALN(4+'Read me'!$B$6)-GAMMALN('Read me'!$B$6)-GAMMALN(4+1)+'Read me'!$B$6*LN('Read me'!$B$6/('Read me'!$B$6+K10))+4*LN(K10/('Read me'!$B$6+K10)))),"")</f>
        <v/>
      </c>
      <c r="M10" s="16" t="n">
        <v>0</v>
      </c>
      <c r="N10" s="17">
        <f>IFERROR(1/L10,"")</f>
        <v/>
      </c>
      <c r="O10" s="18" t="n"/>
      <c r="P10" s="19">
        <f>IF(O10="","",O10*L10-1)</f>
        <v/>
      </c>
      <c r="Q10" s="20">
        <f>IF(P10="","awaiting price",IF(P10&gt;='Read me'!$B$7,"BET",IF(P10&gt;=0,"thin","no bet")))</f>
        <v/>
      </c>
    </row>
    <row r="11">
      <c r="A11" s="11" t="n">
        <v>46296</v>
      </c>
      <c r="B11" s="12" t="inlineStr">
        <is>
          <t>Brazil Série B</t>
        </is>
      </c>
      <c r="C11" s="12" t="inlineStr">
        <is>
          <t>Athletic Club v Sport Recife</t>
        </is>
      </c>
      <c r="D11" s="12" t="inlineStr">
        <is>
          <t>Athletic Club</t>
        </is>
      </c>
      <c r="E11" s="12" t="inlineStr">
        <is>
          <t>Home</t>
        </is>
      </c>
      <c r="F11" s="12" t="inlineStr">
        <is>
          <t>5+ team corners</t>
        </is>
      </c>
      <c r="G11" s="14" t="n">
        <v>5.1</v>
      </c>
      <c r="H11" s="14" t="n">
        <v>7</v>
      </c>
      <c r="I11" s="12" t="inlineStr">
        <is>
          <t>4/5</t>
        </is>
      </c>
      <c r="J11" s="17">
        <f>K11*(0.6+0.4*4/5)</f>
        <v/>
      </c>
      <c r="K11" s="14" t="n">
        <v>6.16</v>
      </c>
      <c r="L11" s="15">
        <f>IFERROR(1-(EXP(GAMMALN(0+'Read me'!$B$6)-GAMMALN('Read me'!$B$6)-GAMMALN(0+1)+'Read me'!$B$6*LN('Read me'!$B$6/('Read me'!$B$6+K11))+0*LN(K11/('Read me'!$B$6+K11)))+EXP(GAMMALN(1+'Read me'!$B$6)-GAMMALN('Read me'!$B$6)-GAMMALN(1+1)+'Read me'!$B$6*LN('Read me'!$B$6/('Read me'!$B$6+K11))+1*LN(K11/('Read me'!$B$6+K11)))+EXP(GAMMALN(2+'Read me'!$B$6)-GAMMALN('Read me'!$B$6)-GAMMALN(2+1)+'Read me'!$B$6*LN('Read me'!$B$6/('Read me'!$B$6+K11))+2*LN(K11/('Read me'!$B$6+K11)))+EXP(GAMMALN(3+'Read me'!$B$6)-GAMMALN('Read me'!$B$6)-GAMMALN(3+1)+'Read me'!$B$6*LN('Read me'!$B$6/('Read me'!$B$6+K11))+3*LN(K11/('Read me'!$B$6+K11)))+EXP(GAMMALN(4+'Read me'!$B$6)-GAMMALN('Read me'!$B$6)-GAMMALN(4+1)+'Read me'!$B$6*LN('Read me'!$B$6/('Read me'!$B$6+K11))+4*LN(K11/('Read me'!$B$6+K11)))),"")</f>
        <v/>
      </c>
      <c r="M11" s="16" t="n">
        <v>0</v>
      </c>
      <c r="N11" s="17">
        <f>IFERROR(1/L11,"")</f>
        <v/>
      </c>
      <c r="O11" s="18" t="n"/>
      <c r="P11" s="19">
        <f>IF(O11="","",O11*L11-1)</f>
        <v/>
      </c>
      <c r="Q11" s="20">
        <f>IF(P11="","awaiting price",IF(P11&gt;='Read me'!$B$7,"BET",IF(P11&gt;=0,"thin","no bet")))</f>
        <v/>
      </c>
    </row>
    <row r="12">
      <c r="A12" s="11" t="n">
        <v>46303</v>
      </c>
      <c r="B12" s="12" t="inlineStr">
        <is>
          <t>Brazil Série B</t>
        </is>
      </c>
      <c r="C12" s="12" t="inlineStr">
        <is>
          <t>Nautico Recife v Novorizontino</t>
        </is>
      </c>
      <c r="D12" s="12" t="inlineStr">
        <is>
          <t>Nautico Recife</t>
        </is>
      </c>
      <c r="E12" s="12" t="inlineStr">
        <is>
          <t>Home</t>
        </is>
      </c>
      <c r="F12" s="12" t="inlineStr">
        <is>
          <t>6+ team corners</t>
        </is>
      </c>
      <c r="G12" s="14" t="n">
        <v>7.2</v>
      </c>
      <c r="H12" s="14" t="n">
        <v>6.9</v>
      </c>
      <c r="I12" s="12" t="inlineStr">
        <is>
          <t>2/5</t>
        </is>
      </c>
      <c r="J12" s="17">
        <f>K12*(0.6+0.4*2/5)</f>
        <v/>
      </c>
      <c r="K12" s="14" t="n">
        <v>7.4</v>
      </c>
      <c r="L12" s="15">
        <f>IFERROR(1-(EXP(GAMMALN(0+'Read me'!$B$6)-GAMMALN('Read me'!$B$6)-GAMMALN(0+1)+'Read me'!$B$6*LN('Read me'!$B$6/('Read me'!$B$6+K12))+0*LN(K12/('Read me'!$B$6+K12)))+EXP(GAMMALN(1+'Read me'!$B$6)-GAMMALN('Read me'!$B$6)-GAMMALN(1+1)+'Read me'!$B$6*LN('Read me'!$B$6/('Read me'!$B$6+K12))+1*LN(K12/('Read me'!$B$6+K12)))+EXP(GAMMALN(2+'Read me'!$B$6)-GAMMALN('Read me'!$B$6)-GAMMALN(2+1)+'Read me'!$B$6*LN('Read me'!$B$6/('Read me'!$B$6+K12))+2*LN(K12/('Read me'!$B$6+K12)))+EXP(GAMMALN(3+'Read me'!$B$6)-GAMMALN('Read me'!$B$6)-GAMMALN(3+1)+'Read me'!$B$6*LN('Read me'!$B$6/('Read me'!$B$6+K12))+3*LN(K12/('Read me'!$B$6+K12)))+EXP(GAMMALN(4+'Read me'!$B$6)-GAMMALN('Read me'!$B$6)-GAMMALN(4+1)+'Read me'!$B$6*LN('Read me'!$B$6/('Read me'!$B$6+K12))+4*LN(K12/('Read me'!$B$6+K12)))+EXP(GAMMALN(5+'Read me'!$B$6)-GAMMALN('Read me'!$B$6)-GAMMALN(5+1)+'Read me'!$B$6*LN('Read me'!$B$6/('Read me'!$B$6+K12))+5*LN(K12/('Read me'!$B$6+K12)))),"")</f>
        <v/>
      </c>
      <c r="M12" s="16" t="n">
        <v>0</v>
      </c>
      <c r="N12" s="17">
        <f>IFERROR(1/L12,"")</f>
        <v/>
      </c>
      <c r="O12" s="18" t="n"/>
      <c r="P12" s="19">
        <f>IF(O12="","",O12*L12-1)</f>
        <v/>
      </c>
      <c r="Q12" s="20">
        <f>IF(P12="","awaiting price",IF(P12&gt;='Read me'!$B$7,"BET",IF(P12&gt;=0,"thin","no bet")))</f>
        <v/>
      </c>
    </row>
    <row r="13">
      <c r="A13" s="11" t="n">
        <v>46298</v>
      </c>
      <c r="B13" s="12" t="inlineStr">
        <is>
          <t>Brazil Série B</t>
        </is>
      </c>
      <c r="C13" s="12" t="inlineStr">
        <is>
          <t>Cuiaba v Ponte Preta</t>
        </is>
      </c>
      <c r="D13" s="12" t="inlineStr">
        <is>
          <t>Cuiaba</t>
        </is>
      </c>
      <c r="E13" s="12" t="inlineStr">
        <is>
          <t>Home</t>
        </is>
      </c>
      <c r="F13" s="12" t="inlineStr">
        <is>
          <t>6+ team corners</t>
        </is>
      </c>
      <c r="G13" s="14" t="n">
        <v>6.1</v>
      </c>
      <c r="H13" s="14" t="n">
        <v>6.8</v>
      </c>
      <c r="I13" s="12" t="inlineStr">
        <is>
          <t>3/5</t>
        </is>
      </c>
      <c r="J13" s="17">
        <f>K13*(0.6+0.4*3/5)</f>
        <v/>
      </c>
      <c r="K13" s="14" t="n">
        <v>6.66</v>
      </c>
      <c r="L13" s="15">
        <f>IFERROR(1-(EXP(GAMMALN(0+'Read me'!$B$6)-GAMMALN('Read me'!$B$6)-GAMMALN(0+1)+'Read me'!$B$6*LN('Read me'!$B$6/('Read me'!$B$6+K13))+0*LN(K13/('Read me'!$B$6+K13)))+EXP(GAMMALN(1+'Read me'!$B$6)-GAMMALN('Read me'!$B$6)-GAMMALN(1+1)+'Read me'!$B$6*LN('Read me'!$B$6/('Read me'!$B$6+K13))+1*LN(K13/('Read me'!$B$6+K13)))+EXP(GAMMALN(2+'Read me'!$B$6)-GAMMALN('Read me'!$B$6)-GAMMALN(2+1)+'Read me'!$B$6*LN('Read me'!$B$6/('Read me'!$B$6+K13))+2*LN(K13/('Read me'!$B$6+K13)))+EXP(GAMMALN(3+'Read me'!$B$6)-GAMMALN('Read me'!$B$6)-GAMMALN(3+1)+'Read me'!$B$6*LN('Read me'!$B$6/('Read me'!$B$6+K13))+3*LN(K13/('Read me'!$B$6+K13)))+EXP(GAMMALN(4+'Read me'!$B$6)-GAMMALN('Read me'!$B$6)-GAMMALN(4+1)+'Read me'!$B$6*LN('Read me'!$B$6/('Read me'!$B$6+K13))+4*LN(K13/('Read me'!$B$6+K13)))+EXP(GAMMALN(5+'Read me'!$B$6)-GAMMALN('Read me'!$B$6)-GAMMALN(5+1)+'Read me'!$B$6*LN('Read me'!$B$6/('Read me'!$B$6+K13))+5*LN(K13/('Read me'!$B$6+K13)))),"")</f>
        <v/>
      </c>
      <c r="M13" s="16" t="n">
        <v>0</v>
      </c>
      <c r="N13" s="17">
        <f>IFERROR(1/L13,"")</f>
        <v/>
      </c>
      <c r="O13" s="18" t="n"/>
      <c r="P13" s="19">
        <f>IF(O13="","",O13*L13-1)</f>
        <v/>
      </c>
      <c r="Q13" s="20">
        <f>IF(P13="","awaiting price",IF(P13&gt;='Read me'!$B$7,"BET",IF(P13&gt;=0,"thin","no bet")))</f>
        <v/>
      </c>
    </row>
    <row r="14">
      <c r="A14" s="11" t="n">
        <v>46298</v>
      </c>
      <c r="B14" s="12" t="inlineStr">
        <is>
          <t>England League Two</t>
        </is>
      </c>
      <c r="C14" s="12" t="inlineStr">
        <is>
          <t>Salford City v Fleetwood Town</t>
        </is>
      </c>
      <c r="D14" s="12" t="inlineStr">
        <is>
          <t>Salford City</t>
        </is>
      </c>
      <c r="E14" s="12" t="inlineStr">
        <is>
          <t>Home</t>
        </is>
      </c>
      <c r="F14" s="12" t="inlineStr">
        <is>
          <t>5+ team corners</t>
        </is>
      </c>
      <c r="G14" s="14" t="n">
        <v>6.22</v>
      </c>
      <c r="H14" s="14" t="n">
        <v>5.7</v>
      </c>
      <c r="I14" s="12" t="inlineStr">
        <is>
          <t>4/5</t>
        </is>
      </c>
      <c r="J14" s="17">
        <f>K14*(0.6+0.4*4/5)</f>
        <v/>
      </c>
      <c r="K14" s="14" t="n">
        <v>6.03</v>
      </c>
      <c r="L14" s="15">
        <f>IFERROR(1-(EXP(GAMMALN(0+'Read me'!$B$6)-GAMMALN('Read me'!$B$6)-GAMMALN(0+1)+'Read me'!$B$6*LN('Read me'!$B$6/('Read me'!$B$6+K14))+0*LN(K14/('Read me'!$B$6+K14)))+EXP(GAMMALN(1+'Read me'!$B$6)-GAMMALN('Read me'!$B$6)-GAMMALN(1+1)+'Read me'!$B$6*LN('Read me'!$B$6/('Read me'!$B$6+K14))+1*LN(K14/('Read me'!$B$6+K14)))+EXP(GAMMALN(2+'Read me'!$B$6)-GAMMALN('Read me'!$B$6)-GAMMALN(2+1)+'Read me'!$B$6*LN('Read me'!$B$6/('Read me'!$B$6+K14))+2*LN(K14/('Read me'!$B$6+K14)))+EXP(GAMMALN(3+'Read me'!$B$6)-GAMMALN('Read me'!$B$6)-GAMMALN(3+1)+'Read me'!$B$6*LN('Read me'!$B$6/('Read me'!$B$6+K14))+3*LN(K14/('Read me'!$B$6+K14)))+EXP(GAMMALN(4+'Read me'!$B$6)-GAMMALN('Read me'!$B$6)-GAMMALN(4+1)+'Read me'!$B$6*LN('Read me'!$B$6/('Read me'!$B$6+K14))+4*LN(K14/('Read me'!$B$6+K14)))),"")</f>
        <v/>
      </c>
      <c r="M14" s="16" t="n">
        <v>0</v>
      </c>
      <c r="N14" s="17">
        <f>IFERROR(1/L14,"")</f>
        <v/>
      </c>
      <c r="O14" s="18" t="n"/>
      <c r="P14" s="19">
        <f>IF(O14="","",O14*L14-1)</f>
        <v/>
      </c>
      <c r="Q14" s="20">
        <f>IF(P14="","awaiting price",IF(P14&gt;='Read me'!$B$7,"BET",IF(P14&gt;=0,"thin","no bet")))</f>
        <v/>
      </c>
    </row>
    <row r="15">
      <c r="A15" s="11" t="n">
        <v>46298</v>
      </c>
      <c r="B15" s="12" t="inlineStr">
        <is>
          <t>England League Two</t>
        </is>
      </c>
      <c r="C15" s="12" t="inlineStr">
        <is>
          <t>Barnet v York</t>
        </is>
      </c>
      <c r="D15" s="12" t="inlineStr">
        <is>
          <t>York</t>
        </is>
      </c>
      <c r="E15" s="12" t="inlineStr">
        <is>
          <t>Away</t>
        </is>
      </c>
      <c r="F15" s="12" t="inlineStr">
        <is>
          <t>4+ team corners</t>
        </is>
      </c>
      <c r="G15" s="14" t="n">
        <v>6.5</v>
      </c>
      <c r="H15" s="14" t="n">
        <v>3.9</v>
      </c>
      <c r="I15" s="12" t="inlineStr">
        <is>
          <t>5/5</t>
        </is>
      </c>
      <c r="J15" s="17">
        <f>K15*(0.6+0.4*5/5)</f>
        <v/>
      </c>
      <c r="K15" s="14" t="n">
        <v>5.49</v>
      </c>
      <c r="L15" s="15">
        <f>IFERROR(1-(EXP(GAMMALN(0+'Read me'!$B$6)-GAMMALN('Read me'!$B$6)-GAMMALN(0+1)+'Read me'!$B$6*LN('Read me'!$B$6/('Read me'!$B$6+K15))+0*LN(K15/('Read me'!$B$6+K15)))+EXP(GAMMALN(1+'Read me'!$B$6)-GAMMALN('Read me'!$B$6)-GAMMALN(1+1)+'Read me'!$B$6*LN('Read me'!$B$6/('Read me'!$B$6+K15))+1*LN(K15/('Read me'!$B$6+K15)))+EXP(GAMMALN(2+'Read me'!$B$6)-GAMMALN('Read me'!$B$6)-GAMMALN(2+1)+'Read me'!$B$6*LN('Read me'!$B$6/('Read me'!$B$6+K15))+2*LN(K15/('Read me'!$B$6+K15)))+EXP(GAMMALN(3+'Read me'!$B$6)-GAMMALN('Read me'!$B$6)-GAMMALN(3+1)+'Read me'!$B$6*LN('Read me'!$B$6/('Read me'!$B$6+K15))+3*LN(K15/('Read me'!$B$6+K15)))),"")</f>
        <v/>
      </c>
      <c r="M15" s="16" t="n">
        <v>0</v>
      </c>
      <c r="N15" s="17">
        <f>IFERROR(1/L15,"")</f>
        <v/>
      </c>
      <c r="O15" s="18" t="n"/>
      <c r="P15" s="19">
        <f>IF(O15="","",O15*L15-1)</f>
        <v/>
      </c>
      <c r="Q15" s="20">
        <f>IF(P15="","awaiting price",IF(P15&gt;='Read me'!$B$7,"BET",IF(P15&gt;=0,"thin","no bet")))</f>
        <v/>
      </c>
    </row>
    <row r="16">
      <c r="A16" s="11" t="n">
        <v>46303</v>
      </c>
      <c r="B16" s="12" t="inlineStr">
        <is>
          <t>Brazil Série B</t>
        </is>
      </c>
      <c r="C16" s="12" t="inlineStr">
        <is>
          <t>Ceara v Criciuma</t>
        </is>
      </c>
      <c r="D16" s="12" t="inlineStr">
        <is>
          <t>Criciuma</t>
        </is>
      </c>
      <c r="E16" s="12" t="inlineStr">
        <is>
          <t>Away</t>
        </is>
      </c>
      <c r="F16" s="12" t="inlineStr">
        <is>
          <t>4+ team corners</t>
        </is>
      </c>
      <c r="G16" s="14" t="n">
        <v>6.75</v>
      </c>
      <c r="H16" s="14" t="n">
        <v>4</v>
      </c>
      <c r="I16" s="12" t="inlineStr">
        <is>
          <t>5/5</t>
        </is>
      </c>
      <c r="J16" s="17">
        <f>K16*(0.6+0.4*5/5)</f>
        <v/>
      </c>
      <c r="K16" s="14" t="n">
        <v>5.44</v>
      </c>
      <c r="L16" s="15">
        <f>IFERROR(1-(EXP(GAMMALN(0+'Read me'!$B$6)-GAMMALN('Read me'!$B$6)-GAMMALN(0+1)+'Read me'!$B$6*LN('Read me'!$B$6/('Read me'!$B$6+K16))+0*LN(K16/('Read me'!$B$6+K16)))+EXP(GAMMALN(1+'Read me'!$B$6)-GAMMALN('Read me'!$B$6)-GAMMALN(1+1)+'Read me'!$B$6*LN('Read me'!$B$6/('Read me'!$B$6+K16))+1*LN(K16/('Read me'!$B$6+K16)))+EXP(GAMMALN(2+'Read me'!$B$6)-GAMMALN('Read me'!$B$6)-GAMMALN(2+1)+'Read me'!$B$6*LN('Read me'!$B$6/('Read me'!$B$6+K16))+2*LN(K16/('Read me'!$B$6+K16)))+EXP(GAMMALN(3+'Read me'!$B$6)-GAMMALN('Read me'!$B$6)-GAMMALN(3+1)+'Read me'!$B$6*LN('Read me'!$B$6/('Read me'!$B$6+K16))+3*LN(K16/('Read me'!$B$6+K16)))),"")</f>
        <v/>
      </c>
      <c r="M16" s="16" t="n">
        <v>0</v>
      </c>
      <c r="N16" s="17">
        <f>IFERROR(1/L16,"")</f>
        <v/>
      </c>
      <c r="O16" s="18" t="n"/>
      <c r="P16" s="19">
        <f>IF(O16="","",O16*L16-1)</f>
        <v/>
      </c>
      <c r="Q16" s="20">
        <f>IF(P16="","awaiting price",IF(P16&gt;='Read me'!$B$7,"BET",IF(P16&gt;=0,"thin","no bet")))</f>
        <v/>
      </c>
    </row>
    <row r="17">
      <c r="A17" s="11" t="n">
        <v>46298</v>
      </c>
      <c r="B17" s="12" t="inlineStr">
        <is>
          <t>Brazil Série B</t>
        </is>
      </c>
      <c r="C17" s="12" t="inlineStr">
        <is>
          <t>Botafogo SP v Vila Nova</t>
        </is>
      </c>
      <c r="D17" s="12" t="inlineStr">
        <is>
          <t>Botafogo SP</t>
        </is>
      </c>
      <c r="E17" s="12" t="inlineStr">
        <is>
          <t>Home</t>
        </is>
      </c>
      <c r="F17" s="12" t="inlineStr">
        <is>
          <t>5+ team corners</t>
        </is>
      </c>
      <c r="G17" s="14" t="n">
        <v>6.1</v>
      </c>
      <c r="H17" s="14" t="n">
        <v>5.5</v>
      </c>
      <c r="I17" s="12" t="inlineStr">
        <is>
          <t>4/5</t>
        </is>
      </c>
      <c r="J17" s="17">
        <f>K17*(0.6+0.4*4/5)</f>
        <v/>
      </c>
      <c r="K17" s="14" t="n">
        <v>5.9</v>
      </c>
      <c r="L17" s="15">
        <f>IFERROR(1-(EXP(GAMMALN(0+'Read me'!$B$6)-GAMMALN('Read me'!$B$6)-GAMMALN(0+1)+'Read me'!$B$6*LN('Read me'!$B$6/('Read me'!$B$6+K17))+0*LN(K17/('Read me'!$B$6+K17)))+EXP(GAMMALN(1+'Read me'!$B$6)-GAMMALN('Read me'!$B$6)-GAMMALN(1+1)+'Read me'!$B$6*LN('Read me'!$B$6/('Read me'!$B$6+K17))+1*LN(K17/('Read me'!$B$6+K17)))+EXP(GAMMALN(2+'Read me'!$B$6)-GAMMALN('Read me'!$B$6)-GAMMALN(2+1)+'Read me'!$B$6*LN('Read me'!$B$6/('Read me'!$B$6+K17))+2*LN(K17/('Read me'!$B$6+K17)))+EXP(GAMMALN(3+'Read me'!$B$6)-GAMMALN('Read me'!$B$6)-GAMMALN(3+1)+'Read me'!$B$6*LN('Read me'!$B$6/('Read me'!$B$6+K17))+3*LN(K17/('Read me'!$B$6+K17)))+EXP(GAMMALN(4+'Read me'!$B$6)-GAMMALN('Read me'!$B$6)-GAMMALN(4+1)+'Read me'!$B$6*LN('Read me'!$B$6/('Read me'!$B$6+K17))+4*LN(K17/('Read me'!$B$6+K17)))),"")</f>
        <v/>
      </c>
      <c r="M17" s="16" t="n">
        <v>0</v>
      </c>
      <c r="N17" s="17">
        <f>IFERROR(1/L17,"")</f>
        <v/>
      </c>
      <c r="O17" s="18" t="n"/>
      <c r="P17" s="19">
        <f>IF(O17="","",O17*L17-1)</f>
        <v/>
      </c>
      <c r="Q17" s="20">
        <f>IF(P17="","awaiting price",IF(P17&gt;='Read me'!$B$7,"BET",IF(P17&gt;=0,"thin","no bet")))</f>
        <v/>
      </c>
    </row>
    <row r="18">
      <c r="A18" s="11" t="n">
        <v>46298</v>
      </c>
      <c r="B18" s="12" t="inlineStr">
        <is>
          <t>England League Two</t>
        </is>
      </c>
      <c r="C18" s="12" t="inlineStr">
        <is>
          <t>Grimsby v Shrewsbury</t>
        </is>
      </c>
      <c r="D18" s="12" t="inlineStr">
        <is>
          <t>Grimsby</t>
        </is>
      </c>
      <c r="E18" s="12" t="inlineStr">
        <is>
          <t>Home</t>
        </is>
      </c>
      <c r="F18" s="12" t="inlineStr">
        <is>
          <t>5+ team corners</t>
        </is>
      </c>
      <c r="G18" s="14" t="n">
        <v>6.7</v>
      </c>
      <c r="H18" s="14" t="n">
        <v>4.5</v>
      </c>
      <c r="I18" s="12" t="inlineStr">
        <is>
          <t>4/5</t>
        </is>
      </c>
      <c r="J18" s="17">
        <f>K18*(0.6+0.4*4/5)</f>
        <v/>
      </c>
      <c r="K18" s="14" t="n">
        <v>5.87</v>
      </c>
      <c r="L18" s="15">
        <f>IFERROR(1-(EXP(GAMMALN(0+'Read me'!$B$6)-GAMMALN('Read me'!$B$6)-GAMMALN(0+1)+'Read me'!$B$6*LN('Read me'!$B$6/('Read me'!$B$6+K18))+0*LN(K18/('Read me'!$B$6+K18)))+EXP(GAMMALN(1+'Read me'!$B$6)-GAMMALN('Read me'!$B$6)-GAMMALN(1+1)+'Read me'!$B$6*LN('Read me'!$B$6/('Read me'!$B$6+K18))+1*LN(K18/('Read me'!$B$6+K18)))+EXP(GAMMALN(2+'Read me'!$B$6)-GAMMALN('Read me'!$B$6)-GAMMALN(2+1)+'Read me'!$B$6*LN('Read me'!$B$6/('Read me'!$B$6+K18))+2*LN(K18/('Read me'!$B$6+K18)))+EXP(GAMMALN(3+'Read me'!$B$6)-GAMMALN('Read me'!$B$6)-GAMMALN(3+1)+'Read me'!$B$6*LN('Read me'!$B$6/('Read me'!$B$6+K18))+3*LN(K18/('Read me'!$B$6+K18)))+EXP(GAMMALN(4+'Read me'!$B$6)-GAMMALN('Read me'!$B$6)-GAMMALN(4+1)+'Read me'!$B$6*LN('Read me'!$B$6/('Read me'!$B$6+K18))+4*LN(K18/('Read me'!$B$6+K18)))),"")</f>
        <v/>
      </c>
      <c r="M18" s="16" t="n">
        <v>0</v>
      </c>
      <c r="N18" s="17">
        <f>IFERROR(1/L18,"")</f>
        <v/>
      </c>
      <c r="O18" s="18" t="n"/>
      <c r="P18" s="19">
        <f>IF(O18="","",O18*L18-1)</f>
        <v/>
      </c>
      <c r="Q18" s="20">
        <f>IF(P18="","awaiting price",IF(P18&gt;='Read me'!$B$7,"BET",IF(P18&gt;=0,"thin","no bet")))</f>
        <v/>
      </c>
    </row>
    <row r="19">
      <c r="A19" s="11" t="n">
        <v>46297</v>
      </c>
      <c r="B19" s="12" t="inlineStr">
        <is>
          <t>Brazil Série B</t>
        </is>
      </c>
      <c r="C19" s="12" t="inlineStr">
        <is>
          <t>Londrina v Criciuma</t>
        </is>
      </c>
      <c r="D19" s="12" t="inlineStr">
        <is>
          <t>Criciuma</t>
        </is>
      </c>
      <c r="E19" s="12" t="inlineStr">
        <is>
          <t>Away</t>
        </is>
      </c>
      <c r="F19" s="12" t="inlineStr">
        <is>
          <t>5+ team corners</t>
        </is>
      </c>
      <c r="G19" s="14" t="n">
        <v>6.75</v>
      </c>
      <c r="H19" s="14" t="n">
        <v>4.73</v>
      </c>
      <c r="I19" s="12" t="inlineStr">
        <is>
          <t>4/5</t>
        </is>
      </c>
      <c r="J19" s="17">
        <f>K19*(0.6+0.4*4/5)</f>
        <v/>
      </c>
      <c r="K19" s="14" t="n">
        <v>5.81</v>
      </c>
      <c r="L19" s="15">
        <f>IFERROR(1-(EXP(GAMMALN(0+'Read me'!$B$6)-GAMMALN('Read me'!$B$6)-GAMMALN(0+1)+'Read me'!$B$6*LN('Read me'!$B$6/('Read me'!$B$6+K19))+0*LN(K19/('Read me'!$B$6+K19)))+EXP(GAMMALN(1+'Read me'!$B$6)-GAMMALN('Read me'!$B$6)-GAMMALN(1+1)+'Read me'!$B$6*LN('Read me'!$B$6/('Read me'!$B$6+K19))+1*LN(K19/('Read me'!$B$6+K19)))+EXP(GAMMALN(2+'Read me'!$B$6)-GAMMALN('Read me'!$B$6)-GAMMALN(2+1)+'Read me'!$B$6*LN('Read me'!$B$6/('Read me'!$B$6+K19))+2*LN(K19/('Read me'!$B$6+K19)))+EXP(GAMMALN(3+'Read me'!$B$6)-GAMMALN('Read me'!$B$6)-GAMMALN(3+1)+'Read me'!$B$6*LN('Read me'!$B$6/('Read me'!$B$6+K19))+3*LN(K19/('Read me'!$B$6+K19)))+EXP(GAMMALN(4+'Read me'!$B$6)-GAMMALN('Read me'!$B$6)-GAMMALN(4+1)+'Read me'!$B$6*LN('Read me'!$B$6/('Read me'!$B$6+K19))+4*LN(K19/('Read me'!$B$6+K19)))),"")</f>
        <v/>
      </c>
      <c r="M19" s="16" t="n">
        <v>0</v>
      </c>
      <c r="N19" s="17">
        <f>IFERROR(1/L19,"")</f>
        <v/>
      </c>
      <c r="O19" s="18" t="n"/>
      <c r="P19" s="19">
        <f>IF(O19="","",O19*L19-1)</f>
        <v/>
      </c>
      <c r="Q19" s="20">
        <f>IF(P19="","awaiting price",IF(P19&gt;='Read me'!$B$7,"BET",IF(P19&gt;=0,"thin","no bet")))</f>
        <v/>
      </c>
    </row>
    <row r="20">
      <c r="A20" s="11" t="n">
        <v>46302</v>
      </c>
      <c r="B20" s="12" t="inlineStr">
        <is>
          <t>Brazil Série B</t>
        </is>
      </c>
      <c r="C20" s="12" t="inlineStr">
        <is>
          <t>Avai v Londrina</t>
        </is>
      </c>
      <c r="D20" s="12" t="inlineStr">
        <is>
          <t>Londrina</t>
        </is>
      </c>
      <c r="E20" s="12" t="inlineStr">
        <is>
          <t>Away</t>
        </is>
      </c>
      <c r="F20" s="12" t="inlineStr">
        <is>
          <t>4+ team corners</t>
        </is>
      </c>
      <c r="G20" s="14" t="n">
        <v>4.67</v>
      </c>
      <c r="H20" s="14" t="n">
        <v>5.75</v>
      </c>
      <c r="I20" s="12" t="inlineStr">
        <is>
          <t>5/5</t>
        </is>
      </c>
      <c r="J20" s="17">
        <f>K20*(0.6+0.4*5/5)</f>
        <v/>
      </c>
      <c r="K20" s="14" t="n">
        <v>5.21</v>
      </c>
      <c r="L20" s="15">
        <f>IFERROR(1-(EXP(GAMMALN(0+'Read me'!$B$6)-GAMMALN('Read me'!$B$6)-GAMMALN(0+1)+'Read me'!$B$6*LN('Read me'!$B$6/('Read me'!$B$6+K20))+0*LN(K20/('Read me'!$B$6+K20)))+EXP(GAMMALN(1+'Read me'!$B$6)-GAMMALN('Read me'!$B$6)-GAMMALN(1+1)+'Read me'!$B$6*LN('Read me'!$B$6/('Read me'!$B$6+K20))+1*LN(K20/('Read me'!$B$6+K20)))+EXP(GAMMALN(2+'Read me'!$B$6)-GAMMALN('Read me'!$B$6)-GAMMALN(2+1)+'Read me'!$B$6*LN('Read me'!$B$6/('Read me'!$B$6+K20))+2*LN(K20/('Read me'!$B$6+K20)))+EXP(GAMMALN(3+'Read me'!$B$6)-GAMMALN('Read me'!$B$6)-GAMMALN(3+1)+'Read me'!$B$6*LN('Read me'!$B$6/('Read me'!$B$6+K20))+3*LN(K20/('Read me'!$B$6+K20)))),"")</f>
        <v/>
      </c>
      <c r="M20" s="16" t="n">
        <v>0</v>
      </c>
      <c r="N20" s="17">
        <f>IFERROR(1/L20,"")</f>
        <v/>
      </c>
      <c r="O20" s="18" t="n"/>
      <c r="P20" s="19">
        <f>IF(O20="","",O20*L20-1)</f>
        <v/>
      </c>
      <c r="Q20" s="20">
        <f>IF(P20="","awaiting price",IF(P20&gt;='Read me'!$B$7,"BET",IF(P20&gt;=0,"thin","no bet")))</f>
        <v/>
      </c>
    </row>
    <row r="21">
      <c r="A21" s="11" t="n">
        <v>46302</v>
      </c>
      <c r="B21" s="12" t="inlineStr">
        <is>
          <t>Brazil Série B</t>
        </is>
      </c>
      <c r="C21" s="12" t="inlineStr">
        <is>
          <t>Vila Nova v Cuiaba</t>
        </is>
      </c>
      <c r="D21" s="12" t="inlineStr">
        <is>
          <t>Cuiaba</t>
        </is>
      </c>
      <c r="E21" s="12" t="inlineStr">
        <is>
          <t>Away</t>
        </is>
      </c>
      <c r="F21" s="12" t="inlineStr">
        <is>
          <t>5+ team corners</t>
        </is>
      </c>
      <c r="G21" s="14" t="n">
        <v>6.4</v>
      </c>
      <c r="H21" s="14" t="n">
        <v>5.8</v>
      </c>
      <c r="I21" s="12" t="inlineStr">
        <is>
          <t>3/5</t>
        </is>
      </c>
      <c r="J21" s="17">
        <f>K21*(0.6+0.4*3/5)</f>
        <v/>
      </c>
      <c r="K21" s="14" t="n">
        <v>6.09</v>
      </c>
      <c r="L21" s="15">
        <f>IFERROR(1-(EXP(GAMMALN(0+'Read me'!$B$6)-GAMMALN('Read me'!$B$6)-GAMMALN(0+1)+'Read me'!$B$6*LN('Read me'!$B$6/('Read me'!$B$6+K21))+0*LN(K21/('Read me'!$B$6+K21)))+EXP(GAMMALN(1+'Read me'!$B$6)-GAMMALN('Read me'!$B$6)-GAMMALN(1+1)+'Read me'!$B$6*LN('Read me'!$B$6/('Read me'!$B$6+K21))+1*LN(K21/('Read me'!$B$6+K21)))+EXP(GAMMALN(2+'Read me'!$B$6)-GAMMALN('Read me'!$B$6)-GAMMALN(2+1)+'Read me'!$B$6*LN('Read me'!$B$6/('Read me'!$B$6+K21))+2*LN(K21/('Read me'!$B$6+K21)))+EXP(GAMMALN(3+'Read me'!$B$6)-GAMMALN('Read me'!$B$6)-GAMMALN(3+1)+'Read me'!$B$6*LN('Read me'!$B$6/('Read me'!$B$6+K21))+3*LN(K21/('Read me'!$B$6+K21)))+EXP(GAMMALN(4+'Read me'!$B$6)-GAMMALN('Read me'!$B$6)-GAMMALN(4+1)+'Read me'!$B$6*LN('Read me'!$B$6/('Read me'!$B$6+K21))+4*LN(K21/('Read me'!$B$6+K21)))),"")</f>
        <v/>
      </c>
      <c r="M21" s="16" t="n">
        <v>0</v>
      </c>
      <c r="N21" s="17">
        <f>IFERROR(1/L21,"")</f>
        <v/>
      </c>
      <c r="O21" s="18" t="n"/>
      <c r="P21" s="19">
        <f>IF(O21="","",O21*L21-1)</f>
        <v/>
      </c>
      <c r="Q21" s="20">
        <f>IF(P21="","awaiting price",IF(P21&gt;='Read me'!$B$7,"BET",IF(P21&gt;=0,"thin","no bet")))</f>
        <v/>
      </c>
    </row>
    <row r="22">
      <c r="A22" s="11" t="n">
        <v>46298</v>
      </c>
      <c r="B22" s="12" t="inlineStr">
        <is>
          <t>Brazil Série B</t>
        </is>
      </c>
      <c r="C22" s="12" t="inlineStr">
        <is>
          <t>Atletico Goianiense v America Mineiro</t>
        </is>
      </c>
      <c r="D22" s="12" t="inlineStr">
        <is>
          <t>Atletico Goianiense</t>
        </is>
      </c>
      <c r="E22" s="12" t="inlineStr">
        <is>
          <t>Home</t>
        </is>
      </c>
      <c r="F22" s="12" t="inlineStr">
        <is>
          <t>6+ team corners</t>
        </is>
      </c>
      <c r="G22" s="14" t="n">
        <v>6.5</v>
      </c>
      <c r="H22" s="14" t="n">
        <v>6.5</v>
      </c>
      <c r="I22" s="12" t="inlineStr">
        <is>
          <t>2/5</t>
        </is>
      </c>
      <c r="J22" s="17">
        <f>K22*(0.6+0.4*2/5)</f>
        <v/>
      </c>
      <c r="K22" s="14" t="n">
        <v>6.72</v>
      </c>
      <c r="L22" s="15">
        <f>IFERROR(1-(EXP(GAMMALN(0+'Read me'!$B$6)-GAMMALN('Read me'!$B$6)-GAMMALN(0+1)+'Read me'!$B$6*LN('Read me'!$B$6/('Read me'!$B$6+K22))+0*LN(K22/('Read me'!$B$6+K22)))+EXP(GAMMALN(1+'Read me'!$B$6)-GAMMALN('Read me'!$B$6)-GAMMALN(1+1)+'Read me'!$B$6*LN('Read me'!$B$6/('Read me'!$B$6+K22))+1*LN(K22/('Read me'!$B$6+K22)))+EXP(GAMMALN(2+'Read me'!$B$6)-GAMMALN('Read me'!$B$6)-GAMMALN(2+1)+'Read me'!$B$6*LN('Read me'!$B$6/('Read me'!$B$6+K22))+2*LN(K22/('Read me'!$B$6+K22)))+EXP(GAMMALN(3+'Read me'!$B$6)-GAMMALN('Read me'!$B$6)-GAMMALN(3+1)+'Read me'!$B$6*LN('Read me'!$B$6/('Read me'!$B$6+K22))+3*LN(K22/('Read me'!$B$6+K22)))+EXP(GAMMALN(4+'Read me'!$B$6)-GAMMALN('Read me'!$B$6)-GAMMALN(4+1)+'Read me'!$B$6*LN('Read me'!$B$6/('Read me'!$B$6+K22))+4*LN(K22/('Read me'!$B$6+K22)))+EXP(GAMMALN(5+'Read me'!$B$6)-GAMMALN('Read me'!$B$6)-GAMMALN(5+1)+'Read me'!$B$6*LN('Read me'!$B$6/('Read me'!$B$6+K22))+5*LN(K22/('Read me'!$B$6+K22)))),"")</f>
        <v/>
      </c>
      <c r="M22" s="16" t="n">
        <v>0</v>
      </c>
      <c r="N22" s="17">
        <f>IFERROR(1/L22,"")</f>
        <v/>
      </c>
      <c r="O22" s="18" t="n"/>
      <c r="P22" s="19">
        <f>IF(O22="","",O22*L22-1)</f>
        <v/>
      </c>
      <c r="Q22" s="20">
        <f>IF(P22="","awaiting price",IF(P22&gt;='Read me'!$B$7,"BET",IF(P22&gt;=0,"thin","no bet")))</f>
        <v/>
      </c>
    </row>
    <row r="23">
      <c r="A23" s="11" t="n">
        <v>46298</v>
      </c>
      <c r="B23" s="12" t="inlineStr">
        <is>
          <t>England League One</t>
        </is>
      </c>
      <c r="C23" s="12" t="inlineStr">
        <is>
          <t>Wigan v Mansfield Town</t>
        </is>
      </c>
      <c r="D23" s="12" t="inlineStr">
        <is>
          <t>Wigan</t>
        </is>
      </c>
      <c r="E23" s="12" t="inlineStr">
        <is>
          <t>Home</t>
        </is>
      </c>
      <c r="F23" s="12" t="inlineStr">
        <is>
          <t>4+ team corners</t>
        </is>
      </c>
      <c r="G23" s="14" t="n">
        <v>5.09</v>
      </c>
      <c r="H23" s="14" t="n">
        <v>5.09</v>
      </c>
      <c r="I23" s="12" t="inlineStr">
        <is>
          <t>5/5</t>
        </is>
      </c>
      <c r="J23" s="17">
        <f>K23*(0.6+0.4*5/5)</f>
        <v/>
      </c>
      <c r="K23" s="14" t="n">
        <v>5.07</v>
      </c>
      <c r="L23" s="15">
        <f>IFERROR(1-(EXP(GAMMALN(0+'Read me'!$B$6)-GAMMALN('Read me'!$B$6)-GAMMALN(0+1)+'Read me'!$B$6*LN('Read me'!$B$6/('Read me'!$B$6+K23))+0*LN(K23/('Read me'!$B$6+K23)))+EXP(GAMMALN(1+'Read me'!$B$6)-GAMMALN('Read me'!$B$6)-GAMMALN(1+1)+'Read me'!$B$6*LN('Read me'!$B$6/('Read me'!$B$6+K23))+1*LN(K23/('Read me'!$B$6+K23)))+EXP(GAMMALN(2+'Read me'!$B$6)-GAMMALN('Read me'!$B$6)-GAMMALN(2+1)+'Read me'!$B$6*LN('Read me'!$B$6/('Read me'!$B$6+K23))+2*LN(K23/('Read me'!$B$6+K23)))+EXP(GAMMALN(3+'Read me'!$B$6)-GAMMALN('Read me'!$B$6)-GAMMALN(3+1)+'Read me'!$B$6*LN('Read me'!$B$6/('Read me'!$B$6+K23))+3*LN(K23/('Read me'!$B$6+K23)))),"")</f>
        <v/>
      </c>
      <c r="M23" s="16" t="n">
        <v>0</v>
      </c>
      <c r="N23" s="17">
        <f>IFERROR(1/L23,"")</f>
        <v/>
      </c>
      <c r="O23" s="18" t="n"/>
      <c r="P23" s="19">
        <f>IF(O23="","",O23*L23-1)</f>
        <v/>
      </c>
      <c r="Q23" s="20">
        <f>IF(P23="","awaiting price",IF(P23&gt;='Read me'!$B$7,"BET",IF(P23&gt;=0,"thin","no bet")))</f>
        <v/>
      </c>
    </row>
    <row r="24">
      <c r="A24" s="11" t="n">
        <v>46298</v>
      </c>
      <c r="B24" s="12" t="inlineStr">
        <is>
          <t>England League Two</t>
        </is>
      </c>
      <c r="C24" s="12" t="inlineStr">
        <is>
          <t>Walsall v Crawley Town</t>
        </is>
      </c>
      <c r="D24" s="12" t="inlineStr">
        <is>
          <t>Walsall</t>
        </is>
      </c>
      <c r="E24" s="12" t="inlineStr">
        <is>
          <t>Home</t>
        </is>
      </c>
      <c r="F24" s="12" t="inlineStr">
        <is>
          <t>5+ team corners</t>
        </is>
      </c>
      <c r="G24" s="14" t="n">
        <v>5.9</v>
      </c>
      <c r="H24" s="14" t="n">
        <v>4.89</v>
      </c>
      <c r="I24" s="12" t="inlineStr">
        <is>
          <t>4/5</t>
        </is>
      </c>
      <c r="J24" s="17">
        <f>K24*(0.6+0.4*4/5)</f>
        <v/>
      </c>
      <c r="K24" s="14" t="n">
        <v>5.5</v>
      </c>
      <c r="L24" s="15">
        <f>IFERROR(1-(EXP(GAMMALN(0+'Read me'!$B$6)-GAMMALN('Read me'!$B$6)-GAMMALN(0+1)+'Read me'!$B$6*LN('Read me'!$B$6/('Read me'!$B$6+K24))+0*LN(K24/('Read me'!$B$6+K24)))+EXP(GAMMALN(1+'Read me'!$B$6)-GAMMALN('Read me'!$B$6)-GAMMALN(1+1)+'Read me'!$B$6*LN('Read me'!$B$6/('Read me'!$B$6+K24))+1*LN(K24/('Read me'!$B$6+K24)))+EXP(GAMMALN(2+'Read me'!$B$6)-GAMMALN('Read me'!$B$6)-GAMMALN(2+1)+'Read me'!$B$6*LN('Read me'!$B$6/('Read me'!$B$6+K24))+2*LN(K24/('Read me'!$B$6+K24)))+EXP(GAMMALN(3+'Read me'!$B$6)-GAMMALN('Read me'!$B$6)-GAMMALN(3+1)+'Read me'!$B$6*LN('Read me'!$B$6/('Read me'!$B$6+K24))+3*LN(K24/('Read me'!$B$6+K24)))+EXP(GAMMALN(4+'Read me'!$B$6)-GAMMALN('Read me'!$B$6)-GAMMALN(4+1)+'Read me'!$B$6*LN('Read me'!$B$6/('Read me'!$B$6+K24))+4*LN(K24/('Read me'!$B$6+K24)))),"")</f>
        <v/>
      </c>
      <c r="M24" s="16" t="n">
        <v>0</v>
      </c>
      <c r="N24" s="17">
        <f>IFERROR(1/L24,"")</f>
        <v/>
      </c>
      <c r="O24" s="18" t="n"/>
      <c r="P24" s="19">
        <f>IF(O24="","",O24*L24-1)</f>
        <v/>
      </c>
      <c r="Q24" s="20">
        <f>IF(P24="","awaiting price",IF(P24&gt;='Read me'!$B$7,"BET",IF(P24&gt;=0,"thin","no bet")))</f>
        <v/>
      </c>
    </row>
    <row r="25">
      <c r="A25" s="11" t="n">
        <v>46299</v>
      </c>
      <c r="B25" s="12" t="inlineStr">
        <is>
          <t>Netherlands Eerste Divisie</t>
        </is>
      </c>
      <c r="C25" s="12" t="inlineStr">
        <is>
          <t>VVV Venlo v Roda</t>
        </is>
      </c>
      <c r="D25" s="12" t="inlineStr">
        <is>
          <t>VVV Venlo</t>
        </is>
      </c>
      <c r="E25" s="12" t="inlineStr">
        <is>
          <t>Home</t>
        </is>
      </c>
      <c r="F25" s="12" t="inlineStr">
        <is>
          <t>4+ team corners</t>
        </is>
      </c>
      <c r="G25" s="14" t="n">
        <v>5.6</v>
      </c>
      <c r="H25" s="14" t="n">
        <v>5.2</v>
      </c>
      <c r="I25" s="12" t="inlineStr">
        <is>
          <t>4/5</t>
        </is>
      </c>
      <c r="J25" s="17">
        <f>K25*(0.6+0.4*4/5)</f>
        <v/>
      </c>
      <c r="K25" s="14" t="n">
        <v>5.48</v>
      </c>
      <c r="L25" s="15">
        <f>IFERROR(1-(EXP(GAMMALN(0+'Read me'!$B$6)-GAMMALN('Read me'!$B$6)-GAMMALN(0+1)+'Read me'!$B$6*LN('Read me'!$B$6/('Read me'!$B$6+K25))+0*LN(K25/('Read me'!$B$6+K25)))+EXP(GAMMALN(1+'Read me'!$B$6)-GAMMALN('Read me'!$B$6)-GAMMALN(1+1)+'Read me'!$B$6*LN('Read me'!$B$6/('Read me'!$B$6+K25))+1*LN(K25/('Read me'!$B$6+K25)))+EXP(GAMMALN(2+'Read me'!$B$6)-GAMMALN('Read me'!$B$6)-GAMMALN(2+1)+'Read me'!$B$6*LN('Read me'!$B$6/('Read me'!$B$6+K25))+2*LN(K25/('Read me'!$B$6+K25)))+EXP(GAMMALN(3+'Read me'!$B$6)-GAMMALN('Read me'!$B$6)-GAMMALN(3+1)+'Read me'!$B$6*LN('Read me'!$B$6/('Read me'!$B$6+K25))+3*LN(K25/('Read me'!$B$6+K25)))),"")</f>
        <v/>
      </c>
      <c r="M25" s="16" t="n">
        <v>0</v>
      </c>
      <c r="N25" s="17">
        <f>IFERROR(1/L25,"")</f>
        <v/>
      </c>
      <c r="O25" s="18" t="n"/>
      <c r="P25" s="19">
        <f>IF(O25="","",O25*L25-1)</f>
        <v/>
      </c>
      <c r="Q25" s="20">
        <f>IF(P25="","awaiting price",IF(P25&gt;='Read me'!$B$7,"BET",IF(P25&gt;=0,"thin","no bet")))</f>
        <v/>
      </c>
    </row>
    <row r="26">
      <c r="A26" s="11" t="n">
        <v>46298</v>
      </c>
      <c r="B26" s="12" t="inlineStr">
        <is>
          <t>England League Two</t>
        </is>
      </c>
      <c r="C26" s="12" t="inlineStr">
        <is>
          <t>Chesterfield v Tranmere</t>
        </is>
      </c>
      <c r="D26" s="12" t="inlineStr">
        <is>
          <t>Chesterfield</t>
        </is>
      </c>
      <c r="E26" s="12" t="inlineStr">
        <is>
          <t>Home</t>
        </is>
      </c>
      <c r="F26" s="12" t="inlineStr">
        <is>
          <t>5+ team corners</t>
        </is>
      </c>
      <c r="G26" s="14" t="n">
        <v>6</v>
      </c>
      <c r="H26" s="14" t="n">
        <v>5.6</v>
      </c>
      <c r="I26" s="12" t="inlineStr">
        <is>
          <t>3/5</t>
        </is>
      </c>
      <c r="J26" s="17">
        <f>K26*(0.6+0.4*3/5)</f>
        <v/>
      </c>
      <c r="K26" s="14" t="n">
        <v>5.95</v>
      </c>
      <c r="L26" s="15">
        <f>IFERROR(1-(EXP(GAMMALN(0+'Read me'!$B$6)-GAMMALN('Read me'!$B$6)-GAMMALN(0+1)+'Read me'!$B$6*LN('Read me'!$B$6/('Read me'!$B$6+K26))+0*LN(K26/('Read me'!$B$6+K26)))+EXP(GAMMALN(1+'Read me'!$B$6)-GAMMALN('Read me'!$B$6)-GAMMALN(1+1)+'Read me'!$B$6*LN('Read me'!$B$6/('Read me'!$B$6+K26))+1*LN(K26/('Read me'!$B$6+K26)))+EXP(GAMMALN(2+'Read me'!$B$6)-GAMMALN('Read me'!$B$6)-GAMMALN(2+1)+'Read me'!$B$6*LN('Read me'!$B$6/('Read me'!$B$6+K26))+2*LN(K26/('Read me'!$B$6+K26)))+EXP(GAMMALN(3+'Read me'!$B$6)-GAMMALN('Read me'!$B$6)-GAMMALN(3+1)+'Read me'!$B$6*LN('Read me'!$B$6/('Read me'!$B$6+K26))+3*LN(K26/('Read me'!$B$6+K26)))+EXP(GAMMALN(4+'Read me'!$B$6)-GAMMALN('Read me'!$B$6)-GAMMALN(4+1)+'Read me'!$B$6*LN('Read me'!$B$6/('Read me'!$B$6+K26))+4*LN(K26/('Read me'!$B$6+K26)))),"")</f>
        <v/>
      </c>
      <c r="M26" s="16" t="n">
        <v>0</v>
      </c>
      <c r="N26" s="17">
        <f>IFERROR(1/L26,"")</f>
        <v/>
      </c>
      <c r="O26" s="18" t="n"/>
      <c r="P26" s="19">
        <f>IF(O26="","",O26*L26-1)</f>
        <v/>
      </c>
      <c r="Q26" s="20">
        <f>IF(P26="","awaiting price",IF(P26&gt;='Read me'!$B$7,"BET",IF(P26&gt;=0,"thin","no bet")))</f>
        <v/>
      </c>
    </row>
    <row r="27">
      <c r="A27" s="11" t="n">
        <v>46297</v>
      </c>
      <c r="B27" s="12" t="inlineStr">
        <is>
          <t>USA MLS</t>
        </is>
      </c>
      <c r="C27" s="12" t="inlineStr">
        <is>
          <t>Seattle Sounders v Sporting Kansas City</t>
        </is>
      </c>
      <c r="D27" s="12" t="inlineStr">
        <is>
          <t>Seattle Sounders</t>
        </is>
      </c>
      <c r="E27" s="12" t="inlineStr">
        <is>
          <t>Home</t>
        </is>
      </c>
      <c r="F27" s="12" t="inlineStr">
        <is>
          <t>4+ team corners</t>
        </is>
      </c>
      <c r="G27" s="14" t="n">
        <v>5.7</v>
      </c>
      <c r="H27" s="14" t="n">
        <v>4.75</v>
      </c>
      <c r="I27" s="12" t="inlineStr">
        <is>
          <t>4/5</t>
        </is>
      </c>
      <c r="J27" s="17">
        <f>K27*(0.6+0.4*4/5)</f>
        <v/>
      </c>
      <c r="K27" s="14" t="n">
        <v>5.34</v>
      </c>
      <c r="L27" s="15">
        <f>IFERROR(1-(EXP(GAMMALN(0+'Read me'!$B$6)-GAMMALN('Read me'!$B$6)-GAMMALN(0+1)+'Read me'!$B$6*LN('Read me'!$B$6/('Read me'!$B$6+K27))+0*LN(K27/('Read me'!$B$6+K27)))+EXP(GAMMALN(1+'Read me'!$B$6)-GAMMALN('Read me'!$B$6)-GAMMALN(1+1)+'Read me'!$B$6*LN('Read me'!$B$6/('Read me'!$B$6+K27))+1*LN(K27/('Read me'!$B$6+K27)))+EXP(GAMMALN(2+'Read me'!$B$6)-GAMMALN('Read me'!$B$6)-GAMMALN(2+1)+'Read me'!$B$6*LN('Read me'!$B$6/('Read me'!$B$6+K27))+2*LN(K27/('Read me'!$B$6+K27)))+EXP(GAMMALN(3+'Read me'!$B$6)-GAMMALN('Read me'!$B$6)-GAMMALN(3+1)+'Read me'!$B$6*LN('Read me'!$B$6/('Read me'!$B$6+K27))+3*LN(K27/('Read me'!$B$6+K27)))),"")</f>
        <v/>
      </c>
      <c r="M27" s="16" t="n">
        <v>0</v>
      </c>
      <c r="N27" s="17">
        <f>IFERROR(1/L27,"")</f>
        <v/>
      </c>
      <c r="O27" s="18" t="n"/>
      <c r="P27" s="19">
        <f>IF(O27="","",O27*L27-1)</f>
        <v/>
      </c>
      <c r="Q27" s="20">
        <f>IF(P27="","awaiting price",IF(P27&gt;='Read me'!$B$7,"BET",IF(P27&gt;=0,"thin","no bet")))</f>
        <v/>
      </c>
    </row>
    <row r="28">
      <c r="A28" s="11" t="n">
        <v>46298</v>
      </c>
      <c r="B28" s="12" t="inlineStr">
        <is>
          <t>Netherlands Eerste Divisie</t>
        </is>
      </c>
      <c r="C28" s="12" t="inlineStr">
        <is>
          <t>FC OSS v MVV</t>
        </is>
      </c>
      <c r="D28" s="12" t="inlineStr">
        <is>
          <t>FC OSS</t>
        </is>
      </c>
      <c r="E28" s="12" t="inlineStr">
        <is>
          <t>Home</t>
        </is>
      </c>
      <c r="F28" s="12" t="inlineStr">
        <is>
          <t>6+ team corners</t>
        </is>
      </c>
      <c r="G28" s="14" t="n">
        <v>5.56</v>
      </c>
      <c r="H28" s="14" t="n">
        <v>8.779999999999999</v>
      </c>
      <c r="I28" s="12" t="inlineStr">
        <is>
          <t>1/5</t>
        </is>
      </c>
      <c r="J28" s="17">
        <f>K28*(0.6+0.4*1/5)</f>
        <v/>
      </c>
      <c r="K28" s="14" t="n">
        <v>7.15</v>
      </c>
      <c r="L28" s="15">
        <f>IFERROR(1-(EXP(GAMMALN(0+'Read me'!$B$6)-GAMMALN('Read me'!$B$6)-GAMMALN(0+1)+'Read me'!$B$6*LN('Read me'!$B$6/('Read me'!$B$6+K28))+0*LN(K28/('Read me'!$B$6+K28)))+EXP(GAMMALN(1+'Read me'!$B$6)-GAMMALN('Read me'!$B$6)-GAMMALN(1+1)+'Read me'!$B$6*LN('Read me'!$B$6/('Read me'!$B$6+K28))+1*LN(K28/('Read me'!$B$6+K28)))+EXP(GAMMALN(2+'Read me'!$B$6)-GAMMALN('Read me'!$B$6)-GAMMALN(2+1)+'Read me'!$B$6*LN('Read me'!$B$6/('Read me'!$B$6+K28))+2*LN(K28/('Read me'!$B$6+K28)))+EXP(GAMMALN(3+'Read me'!$B$6)-GAMMALN('Read me'!$B$6)-GAMMALN(3+1)+'Read me'!$B$6*LN('Read me'!$B$6/('Read me'!$B$6+K28))+3*LN(K28/('Read me'!$B$6+K28)))+EXP(GAMMALN(4+'Read me'!$B$6)-GAMMALN('Read me'!$B$6)-GAMMALN(4+1)+'Read me'!$B$6*LN('Read me'!$B$6/('Read me'!$B$6+K28))+4*LN(K28/('Read me'!$B$6+K28)))+EXP(GAMMALN(5+'Read me'!$B$6)-GAMMALN('Read me'!$B$6)-GAMMALN(5+1)+'Read me'!$B$6*LN('Read me'!$B$6/('Read me'!$B$6+K28))+5*LN(K28/('Read me'!$B$6+K28)))),"")</f>
        <v/>
      </c>
      <c r="M28" s="16" t="n">
        <v>0</v>
      </c>
      <c r="N28" s="17">
        <f>IFERROR(1/L28,"")</f>
        <v/>
      </c>
      <c r="O28" s="18" t="n"/>
      <c r="P28" s="19">
        <f>IF(O28="","",O28*L28-1)</f>
        <v/>
      </c>
      <c r="Q28" s="20">
        <f>IF(P28="","awaiting price",IF(P28&gt;='Read me'!$B$7,"BET",IF(P28&gt;=0,"thin","no bet")))</f>
        <v/>
      </c>
    </row>
    <row r="29">
      <c r="A29" s="11" t="n">
        <v>46298</v>
      </c>
      <c r="B29" s="12" t="inlineStr">
        <is>
          <t>England League One</t>
        </is>
      </c>
      <c r="C29" s="12" t="inlineStr">
        <is>
          <t>Leyton Orient v Plymouth</t>
        </is>
      </c>
      <c r="D29" s="12" t="inlineStr">
        <is>
          <t>Plymouth</t>
        </is>
      </c>
      <c r="E29" s="12" t="inlineStr">
        <is>
          <t>Away</t>
        </is>
      </c>
      <c r="F29" s="12" t="inlineStr">
        <is>
          <t>5+ team corners</t>
        </is>
      </c>
      <c r="G29" s="14" t="n">
        <v>6.3</v>
      </c>
      <c r="H29" s="14" t="n">
        <v>5.8</v>
      </c>
      <c r="I29" s="12" t="inlineStr">
        <is>
          <t>2/5</t>
        </is>
      </c>
      <c r="J29" s="17">
        <f>K29*(0.6+0.4*2/5)</f>
        <v/>
      </c>
      <c r="K29" s="14" t="n">
        <v>6.37</v>
      </c>
      <c r="L29" s="15">
        <f>IFERROR(1-(EXP(GAMMALN(0+'Read me'!$B$6)-GAMMALN('Read me'!$B$6)-GAMMALN(0+1)+'Read me'!$B$6*LN('Read me'!$B$6/('Read me'!$B$6+K29))+0*LN(K29/('Read me'!$B$6+K29)))+EXP(GAMMALN(1+'Read me'!$B$6)-GAMMALN('Read me'!$B$6)-GAMMALN(1+1)+'Read me'!$B$6*LN('Read me'!$B$6/('Read me'!$B$6+K29))+1*LN(K29/('Read me'!$B$6+K29)))+EXP(GAMMALN(2+'Read me'!$B$6)-GAMMALN('Read me'!$B$6)-GAMMALN(2+1)+'Read me'!$B$6*LN('Read me'!$B$6/('Read me'!$B$6+K29))+2*LN(K29/('Read me'!$B$6+K29)))+EXP(GAMMALN(3+'Read me'!$B$6)-GAMMALN('Read me'!$B$6)-GAMMALN(3+1)+'Read me'!$B$6*LN('Read me'!$B$6/('Read me'!$B$6+K29))+3*LN(K29/('Read me'!$B$6+K29)))+EXP(GAMMALN(4+'Read me'!$B$6)-GAMMALN('Read me'!$B$6)-GAMMALN(4+1)+'Read me'!$B$6*LN('Read me'!$B$6/('Read me'!$B$6+K29))+4*LN(K29/('Read me'!$B$6+K29)))),"")</f>
        <v/>
      </c>
      <c r="M29" s="16" t="n">
        <v>0</v>
      </c>
      <c r="N29" s="17">
        <f>IFERROR(1/L29,"")</f>
        <v/>
      </c>
      <c r="O29" s="18" t="n"/>
      <c r="P29" s="19">
        <f>IF(O29="","",O29*L29-1)</f>
        <v/>
      </c>
      <c r="Q29" s="20">
        <f>IF(P29="","awaiting price",IF(P29&gt;='Read me'!$B$7,"BET",IF(P29&gt;=0,"thin","no bet")))</f>
        <v/>
      </c>
    </row>
    <row r="30">
      <c r="A30" s="11" t="n">
        <v>46297</v>
      </c>
      <c r="B30" s="12" t="inlineStr">
        <is>
          <t>Brazil Série B</t>
        </is>
      </c>
      <c r="C30" s="12" t="inlineStr">
        <is>
          <t>Londrina v Criciuma</t>
        </is>
      </c>
      <c r="D30" s="12" t="inlineStr">
        <is>
          <t>Londrina</t>
        </is>
      </c>
      <c r="E30" s="12" t="inlineStr">
        <is>
          <t>Home</t>
        </is>
      </c>
      <c r="F30" s="12" t="inlineStr">
        <is>
          <t>4+ team corners</t>
        </is>
      </c>
      <c r="G30" s="14" t="n">
        <v>5.27</v>
      </c>
      <c r="H30" s="14" t="n">
        <v>4.12</v>
      </c>
      <c r="I30" s="12" t="inlineStr">
        <is>
          <t>5/5</t>
        </is>
      </c>
      <c r="J30" s="17">
        <f>K30*(0.6+0.4*5/5)</f>
        <v/>
      </c>
      <c r="K30" s="14" t="n">
        <v>4.8</v>
      </c>
      <c r="L30" s="15">
        <f>IFERROR(1-(EXP(GAMMALN(0+'Read me'!$B$6)-GAMMALN('Read me'!$B$6)-GAMMALN(0+1)+'Read me'!$B$6*LN('Read me'!$B$6/('Read me'!$B$6+K30))+0*LN(K30/('Read me'!$B$6+K30)))+EXP(GAMMALN(1+'Read me'!$B$6)-GAMMALN('Read me'!$B$6)-GAMMALN(1+1)+'Read me'!$B$6*LN('Read me'!$B$6/('Read me'!$B$6+K30))+1*LN(K30/('Read me'!$B$6+K30)))+EXP(GAMMALN(2+'Read me'!$B$6)-GAMMALN('Read me'!$B$6)-GAMMALN(2+1)+'Read me'!$B$6*LN('Read me'!$B$6/('Read me'!$B$6+K30))+2*LN(K30/('Read me'!$B$6+K30)))+EXP(GAMMALN(3+'Read me'!$B$6)-GAMMALN('Read me'!$B$6)-GAMMALN(3+1)+'Read me'!$B$6*LN('Read me'!$B$6/('Read me'!$B$6+K30))+3*LN(K30/('Read me'!$B$6+K30)))),"")</f>
        <v/>
      </c>
      <c r="M30" s="16" t="n">
        <v>0</v>
      </c>
      <c r="N30" s="17">
        <f>IFERROR(1/L30,"")</f>
        <v/>
      </c>
      <c r="O30" s="18" t="n"/>
      <c r="P30" s="19">
        <f>IF(O30="","",O30*L30-1)</f>
        <v/>
      </c>
      <c r="Q30" s="20">
        <f>IF(P30="","awaiting price",IF(P30&gt;='Read me'!$B$7,"BET",IF(P30&gt;=0,"thin","no bet")))</f>
        <v/>
      </c>
    </row>
    <row r="31">
      <c r="A31" s="11" t="n">
        <v>46298</v>
      </c>
      <c r="B31" s="12" t="inlineStr">
        <is>
          <t>England League One</t>
        </is>
      </c>
      <c r="C31" s="12" t="inlineStr">
        <is>
          <t>Reading v Bradford</t>
        </is>
      </c>
      <c r="D31" s="12" t="inlineStr">
        <is>
          <t>Bradford</t>
        </is>
      </c>
      <c r="E31" s="12" t="inlineStr">
        <is>
          <t>Away</t>
        </is>
      </c>
      <c r="F31" s="12" t="inlineStr">
        <is>
          <t>4+ team corners</t>
        </is>
      </c>
      <c r="G31" s="14" t="n">
        <v>6.18</v>
      </c>
      <c r="H31" s="14" t="n">
        <v>4.44</v>
      </c>
      <c r="I31" s="12" t="inlineStr">
        <is>
          <t>4/5</t>
        </is>
      </c>
      <c r="J31" s="17">
        <f>K31*(0.6+0.4*4/5)</f>
        <v/>
      </c>
      <c r="K31" s="14" t="n">
        <v>5.2</v>
      </c>
      <c r="L31" s="15">
        <f>IFERROR(1-(EXP(GAMMALN(0+'Read me'!$B$6)-GAMMALN('Read me'!$B$6)-GAMMALN(0+1)+'Read me'!$B$6*LN('Read me'!$B$6/('Read me'!$B$6+K31))+0*LN(K31/('Read me'!$B$6+K31)))+EXP(GAMMALN(1+'Read me'!$B$6)-GAMMALN('Read me'!$B$6)-GAMMALN(1+1)+'Read me'!$B$6*LN('Read me'!$B$6/('Read me'!$B$6+K31))+1*LN(K31/('Read me'!$B$6+K31)))+EXP(GAMMALN(2+'Read me'!$B$6)-GAMMALN('Read me'!$B$6)-GAMMALN(2+1)+'Read me'!$B$6*LN('Read me'!$B$6/('Read me'!$B$6+K31))+2*LN(K31/('Read me'!$B$6+K31)))+EXP(GAMMALN(3+'Read me'!$B$6)-GAMMALN('Read me'!$B$6)-GAMMALN(3+1)+'Read me'!$B$6*LN('Read me'!$B$6/('Read me'!$B$6+K31))+3*LN(K31/('Read me'!$B$6+K31)))),"")</f>
        <v/>
      </c>
      <c r="M31" s="16" t="n">
        <v>0</v>
      </c>
      <c r="N31" s="17">
        <f>IFERROR(1/L31,"")</f>
        <v/>
      </c>
      <c r="O31" s="18" t="n"/>
      <c r="P31" s="19">
        <f>IF(O31="","",O31*L31-1)</f>
        <v/>
      </c>
      <c r="Q31" s="20">
        <f>IF(P31="","awaiting price",IF(P31&gt;='Read me'!$B$7,"BET",IF(P31&gt;=0,"thin","no bet")))</f>
        <v/>
      </c>
    </row>
    <row r="32">
      <c r="A32" s="11" t="n">
        <v>46302</v>
      </c>
      <c r="B32" s="12" t="inlineStr">
        <is>
          <t>Brazil Série B</t>
        </is>
      </c>
      <c r="C32" s="12" t="inlineStr">
        <is>
          <t>America Mineiro v Fortaleza EC</t>
        </is>
      </c>
      <c r="D32" s="12" t="inlineStr">
        <is>
          <t>America Mineiro</t>
        </is>
      </c>
      <c r="E32" s="12" t="inlineStr">
        <is>
          <t>Home</t>
        </is>
      </c>
      <c r="F32" s="12" t="inlineStr">
        <is>
          <t>5+ team corners</t>
        </is>
      </c>
      <c r="G32" s="14" t="n">
        <v>5.3</v>
      </c>
      <c r="H32" s="14" t="n">
        <v>5.7</v>
      </c>
      <c r="I32" s="12" t="inlineStr">
        <is>
          <t>3/5</t>
        </is>
      </c>
      <c r="J32" s="17">
        <f>K32*(0.6+0.4*3/5)</f>
        <v/>
      </c>
      <c r="K32" s="14" t="n">
        <v>5.66</v>
      </c>
      <c r="L32" s="15">
        <f>IFERROR(1-(EXP(GAMMALN(0+'Read me'!$B$6)-GAMMALN('Read me'!$B$6)-GAMMALN(0+1)+'Read me'!$B$6*LN('Read me'!$B$6/('Read me'!$B$6+K32))+0*LN(K32/('Read me'!$B$6+K32)))+EXP(GAMMALN(1+'Read me'!$B$6)-GAMMALN('Read me'!$B$6)-GAMMALN(1+1)+'Read me'!$B$6*LN('Read me'!$B$6/('Read me'!$B$6+K32))+1*LN(K32/('Read me'!$B$6+K32)))+EXP(GAMMALN(2+'Read me'!$B$6)-GAMMALN('Read me'!$B$6)-GAMMALN(2+1)+'Read me'!$B$6*LN('Read me'!$B$6/('Read me'!$B$6+K32))+2*LN(K32/('Read me'!$B$6+K32)))+EXP(GAMMALN(3+'Read me'!$B$6)-GAMMALN('Read me'!$B$6)-GAMMALN(3+1)+'Read me'!$B$6*LN('Read me'!$B$6/('Read me'!$B$6+K32))+3*LN(K32/('Read me'!$B$6+K32)))+EXP(GAMMALN(4+'Read me'!$B$6)-GAMMALN('Read me'!$B$6)-GAMMALN(4+1)+'Read me'!$B$6*LN('Read me'!$B$6/('Read me'!$B$6+K32))+4*LN(K32/('Read me'!$B$6+K32)))),"")</f>
        <v/>
      </c>
      <c r="M32" s="16" t="n">
        <v>0</v>
      </c>
      <c r="N32" s="17">
        <f>IFERROR(1/L32,"")</f>
        <v/>
      </c>
      <c r="O32" s="18" t="n"/>
      <c r="P32" s="19">
        <f>IF(O32="","",O32*L32-1)</f>
        <v/>
      </c>
      <c r="Q32" s="20">
        <f>IF(P32="","awaiting price",IF(P32&gt;='Read me'!$B$7,"BET",IF(P32&gt;=0,"thin","no bet")))</f>
        <v/>
      </c>
    </row>
    <row r="33">
      <c r="A33" s="11" t="n">
        <v>46303</v>
      </c>
      <c r="B33" s="12" t="inlineStr">
        <is>
          <t>Brazil Série B</t>
        </is>
      </c>
      <c r="C33" s="12" t="inlineStr">
        <is>
          <t>Nautico Recife v Novorizontino</t>
        </is>
      </c>
      <c r="D33" s="12" t="inlineStr">
        <is>
          <t>Novorizontino</t>
        </is>
      </c>
      <c r="E33" s="12" t="inlineStr">
        <is>
          <t>Away</t>
        </is>
      </c>
      <c r="F33" s="12" t="inlineStr">
        <is>
          <t>4+ team corners</t>
        </is>
      </c>
      <c r="G33" s="14" t="n">
        <v>5.3</v>
      </c>
      <c r="H33" s="14" t="n">
        <v>3.9</v>
      </c>
      <c r="I33" s="12" t="inlineStr">
        <is>
          <t>5/5</t>
        </is>
      </c>
      <c r="J33" s="17">
        <f>K33*(0.6+0.4*5/5)</f>
        <v/>
      </c>
      <c r="K33" s="14" t="n">
        <v>4.72</v>
      </c>
      <c r="L33" s="15">
        <f>IFERROR(1-(EXP(GAMMALN(0+'Read me'!$B$6)-GAMMALN('Read me'!$B$6)-GAMMALN(0+1)+'Read me'!$B$6*LN('Read me'!$B$6/('Read me'!$B$6+K33))+0*LN(K33/('Read me'!$B$6+K33)))+EXP(GAMMALN(1+'Read me'!$B$6)-GAMMALN('Read me'!$B$6)-GAMMALN(1+1)+'Read me'!$B$6*LN('Read me'!$B$6/('Read me'!$B$6+K33))+1*LN(K33/('Read me'!$B$6+K33)))+EXP(GAMMALN(2+'Read me'!$B$6)-GAMMALN('Read me'!$B$6)-GAMMALN(2+1)+'Read me'!$B$6*LN('Read me'!$B$6/('Read me'!$B$6+K33))+2*LN(K33/('Read me'!$B$6+K33)))+EXP(GAMMALN(3+'Read me'!$B$6)-GAMMALN('Read me'!$B$6)-GAMMALN(3+1)+'Read me'!$B$6*LN('Read me'!$B$6/('Read me'!$B$6+K33))+3*LN(K33/('Read me'!$B$6+K33)))),"")</f>
        <v/>
      </c>
      <c r="M33" s="16" t="n">
        <v>0</v>
      </c>
      <c r="N33" s="17">
        <f>IFERROR(1/L33,"")</f>
        <v/>
      </c>
      <c r="O33" s="18" t="n"/>
      <c r="P33" s="19">
        <f>IF(O33="","",O33*L33-1)</f>
        <v/>
      </c>
      <c r="Q33" s="20">
        <f>IF(P33="","awaiting price",IF(P33&gt;='Read me'!$B$7,"BET",IF(P33&gt;=0,"thin","no bet")))</f>
        <v/>
      </c>
    </row>
    <row r="34">
      <c r="A34" s="11" t="n">
        <v>46298</v>
      </c>
      <c r="B34" s="12" t="inlineStr">
        <is>
          <t>Brazil Série B</t>
        </is>
      </c>
      <c r="C34" s="12" t="inlineStr">
        <is>
          <t>Fortaleza EC v Nautico Recife</t>
        </is>
      </c>
      <c r="D34" s="12" t="inlineStr">
        <is>
          <t>Nautico Recife</t>
        </is>
      </c>
      <c r="E34" s="12" t="inlineStr">
        <is>
          <t>Away</t>
        </is>
      </c>
      <c r="F34" s="12" t="inlineStr">
        <is>
          <t>4+ team corners</t>
        </is>
      </c>
      <c r="G34" s="14" t="n">
        <v>5.7</v>
      </c>
      <c r="H34" s="14" t="n">
        <v>3.6</v>
      </c>
      <c r="I34" s="12" t="inlineStr">
        <is>
          <t>5/5</t>
        </is>
      </c>
      <c r="J34" s="17">
        <f>K34*(0.6+0.4*5/5)</f>
        <v/>
      </c>
      <c r="K34" s="14" t="n">
        <v>4.69</v>
      </c>
      <c r="L34" s="15">
        <f>IFERROR(1-(EXP(GAMMALN(0+'Read me'!$B$6)-GAMMALN('Read me'!$B$6)-GAMMALN(0+1)+'Read me'!$B$6*LN('Read me'!$B$6/('Read me'!$B$6+K34))+0*LN(K34/('Read me'!$B$6+K34)))+EXP(GAMMALN(1+'Read me'!$B$6)-GAMMALN('Read me'!$B$6)-GAMMALN(1+1)+'Read me'!$B$6*LN('Read me'!$B$6/('Read me'!$B$6+K34))+1*LN(K34/('Read me'!$B$6+K34)))+EXP(GAMMALN(2+'Read me'!$B$6)-GAMMALN('Read me'!$B$6)-GAMMALN(2+1)+'Read me'!$B$6*LN('Read me'!$B$6/('Read me'!$B$6+K34))+2*LN(K34/('Read me'!$B$6+K34)))+EXP(GAMMALN(3+'Read me'!$B$6)-GAMMALN('Read me'!$B$6)-GAMMALN(3+1)+'Read me'!$B$6*LN('Read me'!$B$6/('Read me'!$B$6+K34))+3*LN(K34/('Read me'!$B$6+K34)))),"")</f>
        <v/>
      </c>
      <c r="M34" s="16" t="n">
        <v>0</v>
      </c>
      <c r="N34" s="17">
        <f>IFERROR(1/L34,"")</f>
        <v/>
      </c>
      <c r="O34" s="18" t="n"/>
      <c r="P34" s="19">
        <f>IF(O34="","",O34*L34-1)</f>
        <v/>
      </c>
      <c r="Q34" s="20">
        <f>IF(P34="","awaiting price",IF(P34&gt;='Read me'!$B$7,"BET",IF(P34&gt;=0,"thin","no bet")))</f>
        <v/>
      </c>
    </row>
    <row r="35">
      <c r="A35" s="11" t="n">
        <v>46302</v>
      </c>
      <c r="B35" s="12" t="inlineStr">
        <is>
          <t>Brazil Série B</t>
        </is>
      </c>
      <c r="C35" s="12" t="inlineStr">
        <is>
          <t>Operario-PR v Botafogo SP</t>
        </is>
      </c>
      <c r="D35" s="12" t="inlineStr">
        <is>
          <t>Botafogo SP</t>
        </is>
      </c>
      <c r="E35" s="12" t="inlineStr">
        <is>
          <t>Away</t>
        </is>
      </c>
      <c r="F35" s="12" t="inlineStr">
        <is>
          <t>4+ team corners</t>
        </is>
      </c>
      <c r="G35" s="14" t="n">
        <v>6</v>
      </c>
      <c r="H35" s="14" t="n">
        <v>4.22</v>
      </c>
      <c r="I35" s="12" t="inlineStr">
        <is>
          <t>4/5</t>
        </is>
      </c>
      <c r="J35" s="17">
        <f>K35*(0.6+0.4*4/5)</f>
        <v/>
      </c>
      <c r="K35" s="14" t="n">
        <v>5.08</v>
      </c>
      <c r="L35" s="15">
        <f>IFERROR(1-(EXP(GAMMALN(0+'Read me'!$B$6)-GAMMALN('Read me'!$B$6)-GAMMALN(0+1)+'Read me'!$B$6*LN('Read me'!$B$6/('Read me'!$B$6+K35))+0*LN(K35/('Read me'!$B$6+K35)))+EXP(GAMMALN(1+'Read me'!$B$6)-GAMMALN('Read me'!$B$6)-GAMMALN(1+1)+'Read me'!$B$6*LN('Read me'!$B$6/('Read me'!$B$6+K35))+1*LN(K35/('Read me'!$B$6+K35)))+EXP(GAMMALN(2+'Read me'!$B$6)-GAMMALN('Read me'!$B$6)-GAMMALN(2+1)+'Read me'!$B$6*LN('Read me'!$B$6/('Read me'!$B$6+K35))+2*LN(K35/('Read me'!$B$6+K35)))+EXP(GAMMALN(3+'Read me'!$B$6)-GAMMALN('Read me'!$B$6)-GAMMALN(3+1)+'Read me'!$B$6*LN('Read me'!$B$6/('Read me'!$B$6+K35))+3*LN(K35/('Read me'!$B$6+K35)))),"")</f>
        <v/>
      </c>
      <c r="M35" s="16" t="n">
        <v>0</v>
      </c>
      <c r="N35" s="17">
        <f>IFERROR(1/L35,"")</f>
        <v/>
      </c>
      <c r="O35" s="18" t="n"/>
      <c r="P35" s="19">
        <f>IF(O35="","",O35*L35-1)</f>
        <v/>
      </c>
      <c r="Q35" s="20">
        <f>IF(P35="","awaiting price",IF(P35&gt;='Read me'!$B$7,"BET",IF(P35&gt;=0,"thin","no bet")))</f>
        <v/>
      </c>
    </row>
    <row r="36">
      <c r="A36" s="11" t="n">
        <v>46298</v>
      </c>
      <c r="B36" s="12" t="inlineStr">
        <is>
          <t>England League One</t>
        </is>
      </c>
      <c r="C36" s="12" t="inlineStr">
        <is>
          <t>Reading v Bradford</t>
        </is>
      </c>
      <c r="D36" s="12" t="inlineStr">
        <is>
          <t>Reading</t>
        </is>
      </c>
      <c r="E36" s="12" t="inlineStr">
        <is>
          <t>Home</t>
        </is>
      </c>
      <c r="F36" s="12" t="inlineStr">
        <is>
          <t>4+ team corners</t>
        </is>
      </c>
      <c r="G36" s="14" t="n">
        <v>4.33</v>
      </c>
      <c r="H36" s="14" t="n">
        <v>5.45</v>
      </c>
      <c r="I36" s="12" t="inlineStr">
        <is>
          <t>4/5</t>
        </is>
      </c>
      <c r="J36" s="17">
        <f>K36*(0.6+0.4*4/5)</f>
        <v/>
      </c>
      <c r="K36" s="14" t="n">
        <v>5.04</v>
      </c>
      <c r="L36" s="15">
        <f>IFERROR(1-(EXP(GAMMALN(0+'Read me'!$B$6)-GAMMALN('Read me'!$B$6)-GAMMALN(0+1)+'Read me'!$B$6*LN('Read me'!$B$6/('Read me'!$B$6+K36))+0*LN(K36/('Read me'!$B$6+K36)))+EXP(GAMMALN(1+'Read me'!$B$6)-GAMMALN('Read me'!$B$6)-GAMMALN(1+1)+'Read me'!$B$6*LN('Read me'!$B$6/('Read me'!$B$6+K36))+1*LN(K36/('Read me'!$B$6+K36)))+EXP(GAMMALN(2+'Read me'!$B$6)-GAMMALN('Read me'!$B$6)-GAMMALN(2+1)+'Read me'!$B$6*LN('Read me'!$B$6/('Read me'!$B$6+K36))+2*LN(K36/('Read me'!$B$6+K36)))+EXP(GAMMALN(3+'Read me'!$B$6)-GAMMALN('Read me'!$B$6)-GAMMALN(3+1)+'Read me'!$B$6*LN('Read me'!$B$6/('Read me'!$B$6+K36))+3*LN(K36/('Read me'!$B$6+K36)))),"")</f>
        <v/>
      </c>
      <c r="M36" s="16" t="n">
        <v>0</v>
      </c>
      <c r="N36" s="17">
        <f>IFERROR(1/L36,"")</f>
        <v/>
      </c>
      <c r="O36" s="18" t="n"/>
      <c r="P36" s="19">
        <f>IF(O36="","",O36*L36-1)</f>
        <v/>
      </c>
      <c r="Q36" s="20">
        <f>IF(P36="","awaiting price",IF(P36&gt;='Read me'!$B$7,"BET",IF(P36&gt;=0,"thin","no bet")))</f>
        <v/>
      </c>
    </row>
    <row r="37">
      <c r="A37" s="11" t="n">
        <v>46298</v>
      </c>
      <c r="B37" s="12" t="inlineStr">
        <is>
          <t>England League Two</t>
        </is>
      </c>
      <c r="C37" s="12" t="inlineStr">
        <is>
          <t>Northampton v Oldham</t>
        </is>
      </c>
      <c r="D37" s="12" t="inlineStr">
        <is>
          <t>Northampton</t>
        </is>
      </c>
      <c r="E37" s="12" t="inlineStr">
        <is>
          <t>Home</t>
        </is>
      </c>
      <c r="F37" s="12" t="inlineStr">
        <is>
          <t>4+ team corners</t>
        </is>
      </c>
      <c r="G37" s="14" t="n">
        <v>5.25</v>
      </c>
      <c r="H37" s="14" t="n">
        <v>5.9</v>
      </c>
      <c r="I37" s="12" t="inlineStr">
        <is>
          <t>3/5</t>
        </is>
      </c>
      <c r="J37" s="17">
        <f>K37*(0.6+0.4*3/5)</f>
        <v/>
      </c>
      <c r="K37" s="14" t="n">
        <v>5.49</v>
      </c>
      <c r="L37" s="15">
        <f>IFERROR(1-(EXP(GAMMALN(0+'Read me'!$B$6)-GAMMALN('Read me'!$B$6)-GAMMALN(0+1)+'Read me'!$B$6*LN('Read me'!$B$6/('Read me'!$B$6+K37))+0*LN(K37/('Read me'!$B$6+K37)))+EXP(GAMMALN(1+'Read me'!$B$6)-GAMMALN('Read me'!$B$6)-GAMMALN(1+1)+'Read me'!$B$6*LN('Read me'!$B$6/('Read me'!$B$6+K37))+1*LN(K37/('Read me'!$B$6+K37)))+EXP(GAMMALN(2+'Read me'!$B$6)-GAMMALN('Read me'!$B$6)-GAMMALN(2+1)+'Read me'!$B$6*LN('Read me'!$B$6/('Read me'!$B$6+K37))+2*LN(K37/('Read me'!$B$6+K37)))+EXP(GAMMALN(3+'Read me'!$B$6)-GAMMALN('Read me'!$B$6)-GAMMALN(3+1)+'Read me'!$B$6*LN('Read me'!$B$6/('Read me'!$B$6+K37))+3*LN(K37/('Read me'!$B$6+K37)))),"")</f>
        <v/>
      </c>
      <c r="M37" s="16" t="n">
        <v>0</v>
      </c>
      <c r="N37" s="17">
        <f>IFERROR(1/L37,"")</f>
        <v/>
      </c>
      <c r="O37" s="18" t="n"/>
      <c r="P37" s="19">
        <f>IF(O37="","",O37*L37-1)</f>
        <v/>
      </c>
      <c r="Q37" s="20">
        <f>IF(P37="","awaiting price",IF(P37&gt;='Read me'!$B$7,"BET",IF(P37&gt;=0,"thin","no bet")))</f>
        <v/>
      </c>
    </row>
    <row r="38">
      <c r="A38" s="11" t="n">
        <v>46303</v>
      </c>
      <c r="B38" s="12" t="inlineStr">
        <is>
          <t>Brazil Série A</t>
        </is>
      </c>
      <c r="C38" s="12" t="inlineStr">
        <is>
          <t>Atletico Paranaense v Atletico-MG</t>
        </is>
      </c>
      <c r="D38" s="12" t="inlineStr">
        <is>
          <t>Atletico Paranaense</t>
        </is>
      </c>
      <c r="E38" s="12" t="inlineStr">
        <is>
          <t>Home</t>
        </is>
      </c>
      <c r="F38" s="12" t="inlineStr">
        <is>
          <t>5+ team corners</t>
        </is>
      </c>
      <c r="G38" s="14" t="n">
        <v>5.89</v>
      </c>
      <c r="H38" s="14" t="n">
        <v>5.91</v>
      </c>
      <c r="I38" s="12" t="inlineStr">
        <is>
          <t>2/5</t>
        </is>
      </c>
      <c r="J38" s="17">
        <f>K38*(0.6+0.4*2/5)</f>
        <v/>
      </c>
      <c r="K38" s="14" t="n">
        <v>6.02</v>
      </c>
      <c r="L38" s="15">
        <f>IFERROR(1-(EXP(GAMMALN(0+'Read me'!$B$6)-GAMMALN('Read me'!$B$6)-GAMMALN(0+1)+'Read me'!$B$6*LN('Read me'!$B$6/('Read me'!$B$6+K38))+0*LN(K38/('Read me'!$B$6+K38)))+EXP(GAMMALN(1+'Read me'!$B$6)-GAMMALN('Read me'!$B$6)-GAMMALN(1+1)+'Read me'!$B$6*LN('Read me'!$B$6/('Read me'!$B$6+K38))+1*LN(K38/('Read me'!$B$6+K38)))+EXP(GAMMALN(2+'Read me'!$B$6)-GAMMALN('Read me'!$B$6)-GAMMALN(2+1)+'Read me'!$B$6*LN('Read me'!$B$6/('Read me'!$B$6+K38))+2*LN(K38/('Read me'!$B$6+K38)))+EXP(GAMMALN(3+'Read me'!$B$6)-GAMMALN('Read me'!$B$6)-GAMMALN(3+1)+'Read me'!$B$6*LN('Read me'!$B$6/('Read me'!$B$6+K38))+3*LN(K38/('Read me'!$B$6+K38)))+EXP(GAMMALN(4+'Read me'!$B$6)-GAMMALN('Read me'!$B$6)-GAMMALN(4+1)+'Read me'!$B$6*LN('Read me'!$B$6/('Read me'!$B$6+K38))+4*LN(K38/('Read me'!$B$6+K38)))),"")</f>
        <v/>
      </c>
      <c r="M38" s="16" t="n">
        <v>0</v>
      </c>
      <c r="N38" s="17">
        <f>IFERROR(1/L38,"")</f>
        <v/>
      </c>
      <c r="O38" s="18" t="n"/>
      <c r="P38" s="19">
        <f>IF(O38="","",O38*L38-1)</f>
        <v/>
      </c>
      <c r="Q38" s="20">
        <f>IF(P38="","awaiting price",IF(P38&gt;='Read me'!$B$7,"BET",IF(P38&gt;=0,"thin","no bet")))</f>
        <v/>
      </c>
    </row>
    <row r="39">
      <c r="A39" s="11" t="n">
        <v>46298</v>
      </c>
      <c r="B39" s="12" t="inlineStr">
        <is>
          <t>England League Two</t>
        </is>
      </c>
      <c r="C39" s="12" t="inlineStr">
        <is>
          <t>Rochdale v Swindon Town</t>
        </is>
      </c>
      <c r="D39" s="12" t="inlineStr">
        <is>
          <t>Rochdale</t>
        </is>
      </c>
      <c r="E39" s="12" t="inlineStr">
        <is>
          <t>Home</t>
        </is>
      </c>
      <c r="F39" s="12" t="inlineStr">
        <is>
          <t>5+ team corners</t>
        </is>
      </c>
      <c r="G39" s="14" t="n">
        <v>3</v>
      </c>
      <c r="H39" s="14" t="n">
        <v>9.5</v>
      </c>
      <c r="I39" s="12" t="inlineStr">
        <is>
          <t>2/5</t>
        </is>
      </c>
      <c r="J39" s="17">
        <f>K39*(0.6+0.4*2/5)</f>
        <v/>
      </c>
      <c r="K39" s="14" t="n">
        <v>6</v>
      </c>
      <c r="L39" s="15">
        <f>IFERROR(1-(EXP(GAMMALN(0+'Read me'!$B$6)-GAMMALN('Read me'!$B$6)-GAMMALN(0+1)+'Read me'!$B$6*LN('Read me'!$B$6/('Read me'!$B$6+K39))+0*LN(K39/('Read me'!$B$6+K39)))+EXP(GAMMALN(1+'Read me'!$B$6)-GAMMALN('Read me'!$B$6)-GAMMALN(1+1)+'Read me'!$B$6*LN('Read me'!$B$6/('Read me'!$B$6+K39))+1*LN(K39/('Read me'!$B$6+K39)))+EXP(GAMMALN(2+'Read me'!$B$6)-GAMMALN('Read me'!$B$6)-GAMMALN(2+1)+'Read me'!$B$6*LN('Read me'!$B$6/('Read me'!$B$6+K39))+2*LN(K39/('Read me'!$B$6+K39)))+EXP(GAMMALN(3+'Read me'!$B$6)-GAMMALN('Read me'!$B$6)-GAMMALN(3+1)+'Read me'!$B$6*LN('Read me'!$B$6/('Read me'!$B$6+K39))+3*LN(K39/('Read me'!$B$6+K39)))+EXP(GAMMALN(4+'Read me'!$B$6)-GAMMALN('Read me'!$B$6)-GAMMALN(4+1)+'Read me'!$B$6*LN('Read me'!$B$6/('Read me'!$B$6+K39))+4*LN(K39/('Read me'!$B$6+K39)))),"")</f>
        <v/>
      </c>
      <c r="M39" s="16" t="n">
        <v>0</v>
      </c>
      <c r="N39" s="17">
        <f>IFERROR(1/L39,"")</f>
        <v/>
      </c>
      <c r="O39" s="18" t="n"/>
      <c r="P39" s="19">
        <f>IF(O39="","",O39*L39-1)</f>
        <v/>
      </c>
      <c r="Q39" s="20">
        <f>IF(P39="","awaiting price",IF(P39&gt;='Read me'!$B$7,"BET",IF(P39&gt;=0,"thin","no bet")))</f>
        <v/>
      </c>
    </row>
    <row r="40">
      <c r="A40" s="11" t="n">
        <v>46302</v>
      </c>
      <c r="B40" s="12" t="inlineStr">
        <is>
          <t>Brazil Série B</t>
        </is>
      </c>
      <c r="C40" s="12" t="inlineStr">
        <is>
          <t>Operario-PR v Botafogo SP</t>
        </is>
      </c>
      <c r="D40" s="12" t="inlineStr">
        <is>
          <t>Operario-PR</t>
        </is>
      </c>
      <c r="E40" s="12" t="inlineStr">
        <is>
          <t>Home</t>
        </is>
      </c>
      <c r="F40" s="12" t="inlineStr">
        <is>
          <t>6+ team corners</t>
        </is>
      </c>
      <c r="G40" s="14" t="n">
        <v>5.78</v>
      </c>
      <c r="H40" s="14" t="n">
        <v>7.2</v>
      </c>
      <c r="I40" s="12" t="inlineStr">
        <is>
          <t>1/5</t>
        </is>
      </c>
      <c r="J40" s="17">
        <f>K40*(0.6+0.4*1/5)</f>
        <v/>
      </c>
      <c r="K40" s="14" t="n">
        <v>6.68</v>
      </c>
      <c r="L40" s="15">
        <f>IFERROR(1-(EXP(GAMMALN(0+'Read me'!$B$6)-GAMMALN('Read me'!$B$6)-GAMMALN(0+1)+'Read me'!$B$6*LN('Read me'!$B$6/('Read me'!$B$6+K40))+0*LN(K40/('Read me'!$B$6+K40)))+EXP(GAMMALN(1+'Read me'!$B$6)-GAMMALN('Read me'!$B$6)-GAMMALN(1+1)+'Read me'!$B$6*LN('Read me'!$B$6/('Read me'!$B$6+K40))+1*LN(K40/('Read me'!$B$6+K40)))+EXP(GAMMALN(2+'Read me'!$B$6)-GAMMALN('Read me'!$B$6)-GAMMALN(2+1)+'Read me'!$B$6*LN('Read me'!$B$6/('Read me'!$B$6+K40))+2*LN(K40/('Read me'!$B$6+K40)))+EXP(GAMMALN(3+'Read me'!$B$6)-GAMMALN('Read me'!$B$6)-GAMMALN(3+1)+'Read me'!$B$6*LN('Read me'!$B$6/('Read me'!$B$6+K40))+3*LN(K40/('Read me'!$B$6+K40)))+EXP(GAMMALN(4+'Read me'!$B$6)-GAMMALN('Read me'!$B$6)-GAMMALN(4+1)+'Read me'!$B$6*LN('Read me'!$B$6/('Read me'!$B$6+K40))+4*LN(K40/('Read me'!$B$6+K40)))+EXP(GAMMALN(5+'Read me'!$B$6)-GAMMALN('Read me'!$B$6)-GAMMALN(5+1)+'Read me'!$B$6*LN('Read me'!$B$6/('Read me'!$B$6+K40))+5*LN(K40/('Read me'!$B$6+K40)))),"")</f>
        <v/>
      </c>
      <c r="M40" s="16" t="n">
        <v>0</v>
      </c>
      <c r="N40" s="17">
        <f>IFERROR(1/L40,"")</f>
        <v/>
      </c>
      <c r="O40" s="18" t="n"/>
      <c r="P40" s="19">
        <f>IF(O40="","",O40*L40-1)</f>
        <v/>
      </c>
      <c r="Q40" s="20">
        <f>IF(P40="","awaiting price",IF(P40&gt;='Read me'!$B$7,"BET",IF(P40&gt;=0,"thin","no bet")))</f>
        <v/>
      </c>
    </row>
    <row r="41">
      <c r="A41" s="11" t="n">
        <v>46302</v>
      </c>
      <c r="B41" s="12" t="inlineStr">
        <is>
          <t>Brazil Série A</t>
        </is>
      </c>
      <c r="C41" s="12" t="inlineStr">
        <is>
          <t>Botafogo v Vasco DA Gama</t>
        </is>
      </c>
      <c r="D41" s="12" t="inlineStr">
        <is>
          <t>Botafogo</t>
        </is>
      </c>
      <c r="E41" s="12" t="inlineStr">
        <is>
          <t>Home</t>
        </is>
      </c>
      <c r="F41" s="12" t="inlineStr">
        <is>
          <t>4+ team corners</t>
        </is>
      </c>
      <c r="G41" s="14" t="n">
        <v>6.27</v>
      </c>
      <c r="H41" s="14" t="n">
        <v>4</v>
      </c>
      <c r="I41" s="12" t="inlineStr">
        <is>
          <t>3/5</t>
        </is>
      </c>
      <c r="J41" s="17">
        <f>K41*(0.6+0.4*3/5)</f>
        <v/>
      </c>
      <c r="K41" s="14" t="n">
        <v>5.38</v>
      </c>
      <c r="L41" s="15">
        <f>IFERROR(1-(EXP(GAMMALN(0+'Read me'!$B$6)-GAMMALN('Read me'!$B$6)-GAMMALN(0+1)+'Read me'!$B$6*LN('Read me'!$B$6/('Read me'!$B$6+K41))+0*LN(K41/('Read me'!$B$6+K41)))+EXP(GAMMALN(1+'Read me'!$B$6)-GAMMALN('Read me'!$B$6)-GAMMALN(1+1)+'Read me'!$B$6*LN('Read me'!$B$6/('Read me'!$B$6+K41))+1*LN(K41/('Read me'!$B$6+K41)))+EXP(GAMMALN(2+'Read me'!$B$6)-GAMMALN('Read me'!$B$6)-GAMMALN(2+1)+'Read me'!$B$6*LN('Read me'!$B$6/('Read me'!$B$6+K41))+2*LN(K41/('Read me'!$B$6+K41)))+EXP(GAMMALN(3+'Read me'!$B$6)-GAMMALN('Read me'!$B$6)-GAMMALN(3+1)+'Read me'!$B$6*LN('Read me'!$B$6/('Read me'!$B$6+K41))+3*LN(K41/('Read me'!$B$6+K41)))),"")</f>
        <v/>
      </c>
      <c r="M41" s="16" t="n">
        <v>0</v>
      </c>
      <c r="N41" s="17">
        <f>IFERROR(1/L41,"")</f>
        <v/>
      </c>
      <c r="O41" s="18" t="n"/>
      <c r="P41" s="19">
        <f>IF(O41="","",O41*L41-1)</f>
        <v/>
      </c>
      <c r="Q41" s="20">
        <f>IF(P41="","awaiting price",IF(P41&gt;='Read me'!$B$7,"BET",IF(P41&gt;=0,"thin","no bet")))</f>
        <v/>
      </c>
    </row>
    <row r="42">
      <c r="A42" s="11" t="n">
        <v>46298</v>
      </c>
      <c r="B42" s="12" t="inlineStr">
        <is>
          <t>Brazil Série B</t>
        </is>
      </c>
      <c r="C42" s="12" t="inlineStr">
        <is>
          <t>Atletico Goianiense v America Mineiro</t>
        </is>
      </c>
      <c r="D42" s="12" t="inlineStr">
        <is>
          <t>America Mineiro</t>
        </is>
      </c>
      <c r="E42" s="12" t="inlineStr">
        <is>
          <t>Away</t>
        </is>
      </c>
      <c r="F42" s="12" t="inlineStr">
        <is>
          <t>3+ team corners</t>
        </is>
      </c>
      <c r="G42" s="14" t="n">
        <v>4.5</v>
      </c>
      <c r="H42" s="14" t="n">
        <v>4.4</v>
      </c>
      <c r="I42" s="12" t="inlineStr">
        <is>
          <t>5/5</t>
        </is>
      </c>
      <c r="J42" s="17">
        <f>K42*(0.6+0.4*5/5)</f>
        <v/>
      </c>
      <c r="K42" s="14" t="n">
        <v>4.4</v>
      </c>
      <c r="L42" s="15">
        <f>IFERROR(1-(EXP(GAMMALN(0+'Read me'!$B$6)-GAMMALN('Read me'!$B$6)-GAMMALN(0+1)+'Read me'!$B$6*LN('Read me'!$B$6/('Read me'!$B$6+K42))+0*LN(K42/('Read me'!$B$6+K42)))+EXP(GAMMALN(1+'Read me'!$B$6)-GAMMALN('Read me'!$B$6)-GAMMALN(1+1)+'Read me'!$B$6*LN('Read me'!$B$6/('Read me'!$B$6+K42))+1*LN(K42/('Read me'!$B$6+K42)))+EXP(GAMMALN(2+'Read me'!$B$6)-GAMMALN('Read me'!$B$6)-GAMMALN(2+1)+'Read me'!$B$6*LN('Read me'!$B$6/('Read me'!$B$6+K42))+2*LN(K42/('Read me'!$B$6+K42)))),"")</f>
        <v/>
      </c>
      <c r="M42" s="16" t="n">
        <v>0</v>
      </c>
      <c r="N42" s="17">
        <f>IFERROR(1/L42,"")</f>
        <v/>
      </c>
      <c r="O42" s="18" t="n"/>
      <c r="P42" s="19">
        <f>IF(O42="","",O42*L42-1)</f>
        <v/>
      </c>
      <c r="Q42" s="20">
        <f>IF(P42="","awaiting price",IF(P42&gt;='Read me'!$B$7,"BET",IF(P42&gt;=0,"thin","no bet")))</f>
        <v/>
      </c>
    </row>
    <row r="43">
      <c r="A43" s="11" t="n">
        <v>46298</v>
      </c>
      <c r="B43" s="12" t="inlineStr">
        <is>
          <t>England League Two</t>
        </is>
      </c>
      <c r="C43" s="12" t="inlineStr">
        <is>
          <t>Exeter City v Rotherham</t>
        </is>
      </c>
      <c r="D43" s="12" t="inlineStr">
        <is>
          <t>Exeter City</t>
        </is>
      </c>
      <c r="E43" s="12" t="inlineStr">
        <is>
          <t>Home</t>
        </is>
      </c>
      <c r="F43" s="12" t="inlineStr">
        <is>
          <t>4+ team corners</t>
        </is>
      </c>
      <c r="G43" s="14" t="n">
        <v>5</v>
      </c>
      <c r="H43" s="14" t="n">
        <v>5.5</v>
      </c>
      <c r="I43" s="12" t="inlineStr">
        <is>
          <t>3/5</t>
        </is>
      </c>
      <c r="J43" s="17">
        <f>K43*(0.6+0.4*3/5)</f>
        <v/>
      </c>
      <c r="K43" s="14" t="n">
        <v>5.23</v>
      </c>
      <c r="L43" s="15">
        <f>IFERROR(1-(EXP(GAMMALN(0+'Read me'!$B$6)-GAMMALN('Read me'!$B$6)-GAMMALN(0+1)+'Read me'!$B$6*LN('Read me'!$B$6/('Read me'!$B$6+K43))+0*LN(K43/('Read me'!$B$6+K43)))+EXP(GAMMALN(1+'Read me'!$B$6)-GAMMALN('Read me'!$B$6)-GAMMALN(1+1)+'Read me'!$B$6*LN('Read me'!$B$6/('Read me'!$B$6+K43))+1*LN(K43/('Read me'!$B$6+K43)))+EXP(GAMMALN(2+'Read me'!$B$6)-GAMMALN('Read me'!$B$6)-GAMMALN(2+1)+'Read me'!$B$6*LN('Read me'!$B$6/('Read me'!$B$6+K43))+2*LN(K43/('Read me'!$B$6+K43)))+EXP(GAMMALN(3+'Read me'!$B$6)-GAMMALN('Read me'!$B$6)-GAMMALN(3+1)+'Read me'!$B$6*LN('Read me'!$B$6/('Read me'!$B$6+K43))+3*LN(K43/('Read me'!$B$6+K43)))),"")</f>
        <v/>
      </c>
      <c r="M43" s="16" t="n">
        <v>0</v>
      </c>
      <c r="N43" s="17">
        <f>IFERROR(1/L43,"")</f>
        <v/>
      </c>
      <c r="O43" s="18" t="n"/>
      <c r="P43" s="19">
        <f>IF(O43="","",O43*L43-1)</f>
        <v/>
      </c>
      <c r="Q43" s="20">
        <f>IF(P43="","awaiting price",IF(P43&gt;='Read me'!$B$7,"BET",IF(P43&gt;=0,"thin","no bet")))</f>
        <v/>
      </c>
    </row>
    <row r="44">
      <c r="A44" s="11" t="n">
        <v>46298</v>
      </c>
      <c r="B44" s="12" t="inlineStr">
        <is>
          <t>Argentina Liga Profesional</t>
        </is>
      </c>
      <c r="C44" s="12" t="inlineStr">
        <is>
          <t>Defensa Y Justicia v San Lorenzo</t>
        </is>
      </c>
      <c r="D44" s="12" t="inlineStr">
        <is>
          <t>Defensa Y Justicia</t>
        </is>
      </c>
      <c r="E44" s="12" t="inlineStr">
        <is>
          <t>Home</t>
        </is>
      </c>
      <c r="F44" s="12" t="inlineStr">
        <is>
          <t>4+ team corners</t>
        </is>
      </c>
      <c r="G44" s="14" t="n">
        <v>5</v>
      </c>
      <c r="H44" s="14" t="n">
        <v>5.38</v>
      </c>
      <c r="I44" s="12" t="inlineStr">
        <is>
          <t>3/5</t>
        </is>
      </c>
      <c r="J44" s="17">
        <f>K44*(0.6+0.4*3/5)</f>
        <v/>
      </c>
      <c r="K44" s="14" t="n">
        <v>5.21</v>
      </c>
      <c r="L44" s="15">
        <f>IFERROR(1-(EXP(GAMMALN(0+'Read me'!$B$6)-GAMMALN('Read me'!$B$6)-GAMMALN(0+1)+'Read me'!$B$6*LN('Read me'!$B$6/('Read me'!$B$6+K44))+0*LN(K44/('Read me'!$B$6+K44)))+EXP(GAMMALN(1+'Read me'!$B$6)-GAMMALN('Read me'!$B$6)-GAMMALN(1+1)+'Read me'!$B$6*LN('Read me'!$B$6/('Read me'!$B$6+K44))+1*LN(K44/('Read me'!$B$6+K44)))+EXP(GAMMALN(2+'Read me'!$B$6)-GAMMALN('Read me'!$B$6)-GAMMALN(2+1)+'Read me'!$B$6*LN('Read me'!$B$6/('Read me'!$B$6+K44))+2*LN(K44/('Read me'!$B$6+K44)))+EXP(GAMMALN(3+'Read me'!$B$6)-GAMMALN('Read me'!$B$6)-GAMMALN(3+1)+'Read me'!$B$6*LN('Read me'!$B$6/('Read me'!$B$6+K44))+3*LN(K44/('Read me'!$B$6+K44)))),"")</f>
        <v/>
      </c>
      <c r="M44" s="16" t="n">
        <v>0</v>
      </c>
      <c r="N44" s="17">
        <f>IFERROR(1/L44,"")</f>
        <v/>
      </c>
      <c r="O44" s="18" t="n"/>
      <c r="P44" s="19">
        <f>IF(O44="","",O44*L44-1)</f>
        <v/>
      </c>
      <c r="Q44" s="20">
        <f>IF(P44="","awaiting price",IF(P44&gt;='Read me'!$B$7,"BET",IF(P44&gt;=0,"thin","no bet")))</f>
        <v/>
      </c>
    </row>
    <row r="45">
      <c r="A45" s="11" t="n">
        <v>46302</v>
      </c>
      <c r="B45" s="12" t="inlineStr">
        <is>
          <t>Brazil Série A</t>
        </is>
      </c>
      <c r="C45" s="12" t="inlineStr">
        <is>
          <t>Botafogo v Vasco DA Gama</t>
        </is>
      </c>
      <c r="D45" s="12" t="inlineStr">
        <is>
          <t>Vasco DA Gama</t>
        </is>
      </c>
      <c r="E45" s="12" t="inlineStr">
        <is>
          <t>Away</t>
        </is>
      </c>
      <c r="F45" s="12" t="inlineStr">
        <is>
          <t>4+ team corners</t>
        </is>
      </c>
      <c r="G45" s="14" t="n">
        <v>4.9</v>
      </c>
      <c r="H45" s="14" t="n">
        <v>4.45</v>
      </c>
      <c r="I45" s="12" t="inlineStr">
        <is>
          <t>4/5</t>
        </is>
      </c>
      <c r="J45" s="17">
        <f>K45*(0.6+0.4*4/5)</f>
        <v/>
      </c>
      <c r="K45" s="14" t="n">
        <v>4.75</v>
      </c>
      <c r="L45" s="15">
        <f>IFERROR(1-(EXP(GAMMALN(0+'Read me'!$B$6)-GAMMALN('Read me'!$B$6)-GAMMALN(0+1)+'Read me'!$B$6*LN('Read me'!$B$6/('Read me'!$B$6+K45))+0*LN(K45/('Read me'!$B$6+K45)))+EXP(GAMMALN(1+'Read me'!$B$6)-GAMMALN('Read me'!$B$6)-GAMMALN(1+1)+'Read me'!$B$6*LN('Read me'!$B$6/('Read me'!$B$6+K45))+1*LN(K45/('Read me'!$B$6+K45)))+EXP(GAMMALN(2+'Read me'!$B$6)-GAMMALN('Read me'!$B$6)-GAMMALN(2+1)+'Read me'!$B$6*LN('Read me'!$B$6/('Read me'!$B$6+K45))+2*LN(K45/('Read me'!$B$6+K45)))+EXP(GAMMALN(3+'Read me'!$B$6)-GAMMALN('Read me'!$B$6)-GAMMALN(3+1)+'Read me'!$B$6*LN('Read me'!$B$6/('Read me'!$B$6+K45))+3*LN(K45/('Read me'!$B$6+K45)))),"")</f>
        <v/>
      </c>
      <c r="M45" s="16" t="n">
        <v>0</v>
      </c>
      <c r="N45" s="17">
        <f>IFERROR(1/L45,"")</f>
        <v/>
      </c>
      <c r="O45" s="18" t="n"/>
      <c r="P45" s="19">
        <f>IF(O45="","",O45*L45-1)</f>
        <v/>
      </c>
      <c r="Q45" s="20">
        <f>IF(P45="","awaiting price",IF(P45&gt;='Read me'!$B$7,"BET",IF(P45&gt;=0,"thin","no bet")))</f>
        <v/>
      </c>
    </row>
    <row r="46">
      <c r="A46" s="11" t="n">
        <v>46299</v>
      </c>
      <c r="B46" s="12" t="inlineStr">
        <is>
          <t>Argentina Liga Profesional</t>
        </is>
      </c>
      <c r="C46" s="12" t="inlineStr">
        <is>
          <t>Talleres Cordoba v Belgrano Cordoba</t>
        </is>
      </c>
      <c r="D46" s="12" t="inlineStr">
        <is>
          <t>Belgrano Cordoba</t>
        </is>
      </c>
      <c r="E46" s="12" t="inlineStr">
        <is>
          <t>Away</t>
        </is>
      </c>
      <c r="F46" s="12" t="inlineStr">
        <is>
          <t>3+ team corners</t>
        </is>
      </c>
      <c r="G46" s="14" t="n">
        <v>3.38</v>
      </c>
      <c r="H46" s="14" t="n">
        <v>5.38</v>
      </c>
      <c r="I46" s="12" t="inlineStr">
        <is>
          <t>5/5</t>
        </is>
      </c>
      <c r="J46" s="17">
        <f>K46*(0.6+0.4*5/5)</f>
        <v/>
      </c>
      <c r="K46" s="14" t="n">
        <v>4.36</v>
      </c>
      <c r="L46" s="15">
        <f>IFERROR(1-(EXP(GAMMALN(0+'Read me'!$B$6)-GAMMALN('Read me'!$B$6)-GAMMALN(0+1)+'Read me'!$B$6*LN('Read me'!$B$6/('Read me'!$B$6+K46))+0*LN(K46/('Read me'!$B$6+K46)))+EXP(GAMMALN(1+'Read me'!$B$6)-GAMMALN('Read me'!$B$6)-GAMMALN(1+1)+'Read me'!$B$6*LN('Read me'!$B$6/('Read me'!$B$6+K46))+1*LN(K46/('Read me'!$B$6+K46)))+EXP(GAMMALN(2+'Read me'!$B$6)-GAMMALN('Read me'!$B$6)-GAMMALN(2+1)+'Read me'!$B$6*LN('Read me'!$B$6/('Read me'!$B$6+K46))+2*LN(K46/('Read me'!$B$6+K46)))),"")</f>
        <v/>
      </c>
      <c r="M46" s="16" t="n">
        <v>0</v>
      </c>
      <c r="N46" s="17">
        <f>IFERROR(1/L46,"")</f>
        <v/>
      </c>
      <c r="O46" s="18" t="n"/>
      <c r="P46" s="19">
        <f>IF(O46="","",O46*L46-1)</f>
        <v/>
      </c>
      <c r="Q46" s="20">
        <f>IF(P46="","awaiting price",IF(P46&gt;='Read me'!$B$7,"BET",IF(P46&gt;=0,"thin","no bet")))</f>
        <v/>
      </c>
    </row>
    <row r="47">
      <c r="A47" s="11" t="n">
        <v>46302</v>
      </c>
      <c r="B47" s="12" t="inlineStr">
        <is>
          <t>Brazil Série A</t>
        </is>
      </c>
      <c r="C47" s="12" t="inlineStr">
        <is>
          <t>Internacional v Corinthians</t>
        </is>
      </c>
      <c r="D47" s="12" t="inlineStr">
        <is>
          <t>Internacional</t>
        </is>
      </c>
      <c r="E47" s="12" t="inlineStr">
        <is>
          <t>Home</t>
        </is>
      </c>
      <c r="F47" s="12" t="inlineStr">
        <is>
          <t>5+ team corners</t>
        </is>
      </c>
      <c r="G47" s="14" t="n">
        <v>5.1</v>
      </c>
      <c r="H47" s="14" t="n">
        <v>6</v>
      </c>
      <c r="I47" s="12" t="inlineStr">
        <is>
          <t>2/5</t>
        </is>
      </c>
      <c r="J47" s="17">
        <f>K47*(0.6+0.4*2/5)</f>
        <v/>
      </c>
      <c r="K47" s="14" t="n">
        <v>5.72</v>
      </c>
      <c r="L47" s="15">
        <f>IFERROR(1-(EXP(GAMMALN(0+'Read me'!$B$6)-GAMMALN('Read me'!$B$6)-GAMMALN(0+1)+'Read me'!$B$6*LN('Read me'!$B$6/('Read me'!$B$6+K47))+0*LN(K47/('Read me'!$B$6+K47)))+EXP(GAMMALN(1+'Read me'!$B$6)-GAMMALN('Read me'!$B$6)-GAMMALN(1+1)+'Read me'!$B$6*LN('Read me'!$B$6/('Read me'!$B$6+K47))+1*LN(K47/('Read me'!$B$6+K47)))+EXP(GAMMALN(2+'Read me'!$B$6)-GAMMALN('Read me'!$B$6)-GAMMALN(2+1)+'Read me'!$B$6*LN('Read me'!$B$6/('Read me'!$B$6+K47))+2*LN(K47/('Read me'!$B$6+K47)))+EXP(GAMMALN(3+'Read me'!$B$6)-GAMMALN('Read me'!$B$6)-GAMMALN(3+1)+'Read me'!$B$6*LN('Read me'!$B$6/('Read me'!$B$6+K47))+3*LN(K47/('Read me'!$B$6+K47)))+EXP(GAMMALN(4+'Read me'!$B$6)-GAMMALN('Read me'!$B$6)-GAMMALN(4+1)+'Read me'!$B$6*LN('Read me'!$B$6/('Read me'!$B$6+K47))+4*LN(K47/('Read me'!$B$6+K47)))),"")</f>
        <v/>
      </c>
      <c r="M47" s="16" t="n">
        <v>0</v>
      </c>
      <c r="N47" s="17">
        <f>IFERROR(1/L47,"")</f>
        <v/>
      </c>
      <c r="O47" s="18" t="n"/>
      <c r="P47" s="19">
        <f>IF(O47="","",O47*L47-1)</f>
        <v/>
      </c>
      <c r="Q47" s="20">
        <f>IF(P47="","awaiting price",IF(P47&gt;='Read me'!$B$7,"BET",IF(P47&gt;=0,"thin","no bet")))</f>
        <v/>
      </c>
    </row>
    <row r="48">
      <c r="A48" s="11" t="n">
        <v>46303</v>
      </c>
      <c r="B48" s="12" t="inlineStr">
        <is>
          <t>Brazil Série A</t>
        </is>
      </c>
      <c r="C48" s="12" t="inlineStr">
        <is>
          <t>Cruzeiro v Sao Paulo</t>
        </is>
      </c>
      <c r="D48" s="12" t="inlineStr">
        <is>
          <t>Sao Paulo</t>
        </is>
      </c>
      <c r="E48" s="12" t="inlineStr">
        <is>
          <t>Away</t>
        </is>
      </c>
      <c r="F48" s="12" t="inlineStr">
        <is>
          <t>3+ team corners</t>
        </is>
      </c>
      <c r="G48" s="14" t="n">
        <v>5.9</v>
      </c>
      <c r="H48" s="14" t="n">
        <v>2.8</v>
      </c>
      <c r="I48" s="12" t="inlineStr">
        <is>
          <t>5/5</t>
        </is>
      </c>
      <c r="J48" s="17">
        <f>K48*(0.6+0.4*5/5)</f>
        <v/>
      </c>
      <c r="K48" s="14" t="n">
        <v>4.33</v>
      </c>
      <c r="L48" s="15">
        <f>IFERROR(1-(EXP(GAMMALN(0+'Read me'!$B$6)-GAMMALN('Read me'!$B$6)-GAMMALN(0+1)+'Read me'!$B$6*LN('Read me'!$B$6/('Read me'!$B$6+K48))+0*LN(K48/('Read me'!$B$6+K48)))+EXP(GAMMALN(1+'Read me'!$B$6)-GAMMALN('Read me'!$B$6)-GAMMALN(1+1)+'Read me'!$B$6*LN('Read me'!$B$6/('Read me'!$B$6+K48))+1*LN(K48/('Read me'!$B$6+K48)))+EXP(GAMMALN(2+'Read me'!$B$6)-GAMMALN('Read me'!$B$6)-GAMMALN(2+1)+'Read me'!$B$6*LN('Read me'!$B$6/('Read me'!$B$6+K48))+2*LN(K48/('Read me'!$B$6+K48)))),"")</f>
        <v/>
      </c>
      <c r="M48" s="16" t="n">
        <v>0</v>
      </c>
      <c r="N48" s="17">
        <f>IFERROR(1/L48,"")</f>
        <v/>
      </c>
      <c r="O48" s="18" t="n"/>
      <c r="P48" s="19">
        <f>IF(O48="","",O48*L48-1)</f>
        <v/>
      </c>
      <c r="Q48" s="20">
        <f>IF(P48="","awaiting price",IF(P48&gt;='Read me'!$B$7,"BET",IF(P48&gt;=0,"thin","no bet")))</f>
        <v/>
      </c>
    </row>
    <row r="49">
      <c r="A49" s="11" t="n">
        <v>46298</v>
      </c>
      <c r="B49" s="12" t="inlineStr">
        <is>
          <t>England League One</t>
        </is>
      </c>
      <c r="C49" s="12" t="inlineStr">
        <is>
          <t>Burton Albion v Huddersfield</t>
        </is>
      </c>
      <c r="D49" s="12" t="inlineStr">
        <is>
          <t>Huddersfield</t>
        </is>
      </c>
      <c r="E49" s="12" t="inlineStr">
        <is>
          <t>Away</t>
        </is>
      </c>
      <c r="F49" s="12" t="inlineStr">
        <is>
          <t>3+ team corners</t>
        </is>
      </c>
      <c r="G49" s="14" t="n">
        <v>4.7</v>
      </c>
      <c r="H49" s="14" t="n">
        <v>3.8</v>
      </c>
      <c r="I49" s="12" t="inlineStr">
        <is>
          <t>5/5</t>
        </is>
      </c>
      <c r="J49" s="17">
        <f>K49*(0.6+0.4*5/5)</f>
        <v/>
      </c>
      <c r="K49" s="14" t="n">
        <v>4.32</v>
      </c>
      <c r="L49" s="15">
        <f>IFERROR(1-(EXP(GAMMALN(0+'Read me'!$B$6)-GAMMALN('Read me'!$B$6)-GAMMALN(0+1)+'Read me'!$B$6*LN('Read me'!$B$6/('Read me'!$B$6+K49))+0*LN(K49/('Read me'!$B$6+K49)))+EXP(GAMMALN(1+'Read me'!$B$6)-GAMMALN('Read me'!$B$6)-GAMMALN(1+1)+'Read me'!$B$6*LN('Read me'!$B$6/('Read me'!$B$6+K49))+1*LN(K49/('Read me'!$B$6+K49)))+EXP(GAMMALN(2+'Read me'!$B$6)-GAMMALN('Read me'!$B$6)-GAMMALN(2+1)+'Read me'!$B$6*LN('Read me'!$B$6/('Read me'!$B$6+K49))+2*LN(K49/('Read me'!$B$6+K49)))),"")</f>
        <v/>
      </c>
      <c r="M49" s="16" t="n">
        <v>0</v>
      </c>
      <c r="N49" s="17">
        <f>IFERROR(1/L49,"")</f>
        <v/>
      </c>
      <c r="O49" s="18" t="n"/>
      <c r="P49" s="19">
        <f>IF(O49="","",O49*L49-1)</f>
        <v/>
      </c>
      <c r="Q49" s="20">
        <f>IF(P49="","awaiting price",IF(P49&gt;='Read me'!$B$7,"BET",IF(P49&gt;=0,"thin","no bet")))</f>
        <v/>
      </c>
    </row>
    <row r="50">
      <c r="A50" s="11" t="n">
        <v>46300</v>
      </c>
      <c r="B50" s="12" t="inlineStr">
        <is>
          <t>Argentina Liga Profesional</t>
        </is>
      </c>
      <c r="C50" s="12" t="inlineStr">
        <is>
          <t>Velez Sarsfield v Platense</t>
        </is>
      </c>
      <c r="D50" s="12" t="inlineStr">
        <is>
          <t>Velez Sarsfield</t>
        </is>
      </c>
      <c r="E50" s="12" t="inlineStr">
        <is>
          <t>Home</t>
        </is>
      </c>
      <c r="F50" s="12" t="inlineStr">
        <is>
          <t>4+ team corners</t>
        </is>
      </c>
      <c r="G50" s="14" t="n">
        <v>5.2</v>
      </c>
      <c r="H50" s="14" t="n">
        <v>4.75</v>
      </c>
      <c r="I50" s="12" t="inlineStr">
        <is>
          <t>3/5</t>
        </is>
      </c>
      <c r="J50" s="17">
        <f>K50*(0.6+0.4*3/5)</f>
        <v/>
      </c>
      <c r="K50" s="14" t="n">
        <v>5.1</v>
      </c>
      <c r="L50" s="15">
        <f>IFERROR(1-(EXP(GAMMALN(0+'Read me'!$B$6)-GAMMALN('Read me'!$B$6)-GAMMALN(0+1)+'Read me'!$B$6*LN('Read me'!$B$6/('Read me'!$B$6+K50))+0*LN(K50/('Read me'!$B$6+K50)))+EXP(GAMMALN(1+'Read me'!$B$6)-GAMMALN('Read me'!$B$6)-GAMMALN(1+1)+'Read me'!$B$6*LN('Read me'!$B$6/('Read me'!$B$6+K50))+1*LN(K50/('Read me'!$B$6+K50)))+EXP(GAMMALN(2+'Read me'!$B$6)-GAMMALN('Read me'!$B$6)-GAMMALN(2+1)+'Read me'!$B$6*LN('Read me'!$B$6/('Read me'!$B$6+K50))+2*LN(K50/('Read me'!$B$6+K50)))+EXP(GAMMALN(3+'Read me'!$B$6)-GAMMALN('Read me'!$B$6)-GAMMALN(3+1)+'Read me'!$B$6*LN('Read me'!$B$6/('Read me'!$B$6+K50))+3*LN(K50/('Read me'!$B$6+K50)))),"")</f>
        <v/>
      </c>
      <c r="M50" s="16" t="n">
        <v>0</v>
      </c>
      <c r="N50" s="17">
        <f>IFERROR(1/L50,"")</f>
        <v/>
      </c>
      <c r="O50" s="18" t="n"/>
      <c r="P50" s="19">
        <f>IF(O50="","",O50*L50-1)</f>
        <v/>
      </c>
      <c r="Q50" s="20">
        <f>IF(P50="","awaiting price",IF(P50&gt;='Read me'!$B$7,"BET",IF(P50&gt;=0,"thin","no bet")))</f>
        <v/>
      </c>
    </row>
    <row r="51">
      <c r="A51" s="11" t="n">
        <v>46298</v>
      </c>
      <c r="B51" s="12" t="inlineStr">
        <is>
          <t>Netherlands Eerste Divisie</t>
        </is>
      </c>
      <c r="C51" s="12" t="inlineStr">
        <is>
          <t>Almere City FC v FC Volendam</t>
        </is>
      </c>
      <c r="D51" s="12" t="inlineStr">
        <is>
          <t>Almere City FC</t>
        </is>
      </c>
      <c r="E51" s="12" t="inlineStr">
        <is>
          <t>Home</t>
        </is>
      </c>
      <c r="F51" s="12" t="inlineStr">
        <is>
          <t>5+ team corners</t>
        </is>
      </c>
      <c r="G51" s="14" t="n">
        <v>5</v>
      </c>
      <c r="H51" s="14" t="n">
        <v>6</v>
      </c>
      <c r="I51" s="12" t="inlineStr">
        <is>
          <t>2/5</t>
        </is>
      </c>
      <c r="J51" s="17">
        <f>K51*(0.6+0.4*2/5)</f>
        <v/>
      </c>
      <c r="K51" s="14" t="n">
        <v>5.63</v>
      </c>
      <c r="L51" s="15">
        <f>IFERROR(1-(EXP(GAMMALN(0+'Read me'!$B$6)-GAMMALN('Read me'!$B$6)-GAMMALN(0+1)+'Read me'!$B$6*LN('Read me'!$B$6/('Read me'!$B$6+K51))+0*LN(K51/('Read me'!$B$6+K51)))+EXP(GAMMALN(1+'Read me'!$B$6)-GAMMALN('Read me'!$B$6)-GAMMALN(1+1)+'Read me'!$B$6*LN('Read me'!$B$6/('Read me'!$B$6+K51))+1*LN(K51/('Read me'!$B$6+K51)))+EXP(GAMMALN(2+'Read me'!$B$6)-GAMMALN('Read me'!$B$6)-GAMMALN(2+1)+'Read me'!$B$6*LN('Read me'!$B$6/('Read me'!$B$6+K51))+2*LN(K51/('Read me'!$B$6+K51)))+EXP(GAMMALN(3+'Read me'!$B$6)-GAMMALN('Read me'!$B$6)-GAMMALN(3+1)+'Read me'!$B$6*LN('Read me'!$B$6/('Read me'!$B$6+K51))+3*LN(K51/('Read me'!$B$6+K51)))+EXP(GAMMALN(4+'Read me'!$B$6)-GAMMALN('Read me'!$B$6)-GAMMALN(4+1)+'Read me'!$B$6*LN('Read me'!$B$6/('Read me'!$B$6+K51))+4*LN(K51/('Read me'!$B$6+K51)))),"")</f>
        <v/>
      </c>
      <c r="M51" s="16" t="n">
        <v>0</v>
      </c>
      <c r="N51" s="17">
        <f>IFERROR(1/L51,"")</f>
        <v/>
      </c>
      <c r="O51" s="18" t="n"/>
      <c r="P51" s="19">
        <f>IF(O51="","",O51*L51-1)</f>
        <v/>
      </c>
      <c r="Q51" s="20">
        <f>IF(P51="","awaiting price",IF(P51&gt;='Read me'!$B$7,"BET",IF(P51&gt;=0,"thin","no bet")))</f>
        <v/>
      </c>
    </row>
    <row r="52">
      <c r="A52" s="11" t="n">
        <v>46298</v>
      </c>
      <c r="B52" s="12" t="inlineStr">
        <is>
          <t>Brazil Série A</t>
        </is>
      </c>
      <c r="C52" s="12" t="inlineStr">
        <is>
          <t>Atletico-MG v RB Bragantino</t>
        </is>
      </c>
      <c r="D52" s="12" t="inlineStr">
        <is>
          <t>RB Bragantino</t>
        </is>
      </c>
      <c r="E52" s="12" t="inlineStr">
        <is>
          <t>Away</t>
        </is>
      </c>
      <c r="F52" s="12" t="inlineStr">
        <is>
          <t>3+ team corners</t>
        </is>
      </c>
      <c r="G52" s="14" t="n">
        <v>4.3</v>
      </c>
      <c r="H52" s="14" t="n">
        <v>4.22</v>
      </c>
      <c r="I52" s="12" t="inlineStr">
        <is>
          <t>5/5</t>
        </is>
      </c>
      <c r="J52" s="17">
        <f>K52*(0.6+0.4*5/5)</f>
        <v/>
      </c>
      <c r="K52" s="14" t="n">
        <v>4.25</v>
      </c>
      <c r="L52" s="15">
        <f>IFERROR(1-(EXP(GAMMALN(0+'Read me'!$B$6)-GAMMALN('Read me'!$B$6)-GAMMALN(0+1)+'Read me'!$B$6*LN('Read me'!$B$6/('Read me'!$B$6+K52))+0*LN(K52/('Read me'!$B$6+K52)))+EXP(GAMMALN(1+'Read me'!$B$6)-GAMMALN('Read me'!$B$6)-GAMMALN(1+1)+'Read me'!$B$6*LN('Read me'!$B$6/('Read me'!$B$6+K52))+1*LN(K52/('Read me'!$B$6+K52)))+EXP(GAMMALN(2+'Read me'!$B$6)-GAMMALN('Read me'!$B$6)-GAMMALN(2+1)+'Read me'!$B$6*LN('Read me'!$B$6/('Read me'!$B$6+K52))+2*LN(K52/('Read me'!$B$6+K52)))),"")</f>
        <v/>
      </c>
      <c r="M52" s="16" t="n">
        <v>0</v>
      </c>
      <c r="N52" s="17">
        <f>IFERROR(1/L52,"")</f>
        <v/>
      </c>
      <c r="O52" s="18" t="n"/>
      <c r="P52" s="19">
        <f>IF(O52="","",O52*L52-1)</f>
        <v/>
      </c>
      <c r="Q52" s="20">
        <f>IF(P52="","awaiting price",IF(P52&gt;='Read me'!$B$7,"BET",IF(P52&gt;=0,"thin","no bet")))</f>
        <v/>
      </c>
    </row>
    <row r="53">
      <c r="A53" s="11" t="n">
        <v>46300</v>
      </c>
      <c r="B53" s="12" t="inlineStr">
        <is>
          <t>Argentina Liga Profesional</t>
        </is>
      </c>
      <c r="C53" s="12" t="inlineStr">
        <is>
          <t>Deportivo Riestra v Central Cordoba de Santiago</t>
        </is>
      </c>
      <c r="D53" s="12" t="inlineStr">
        <is>
          <t>Central Cordoba de Santiago</t>
        </is>
      </c>
      <c r="E53" s="12" t="inlineStr">
        <is>
          <t>Away</t>
        </is>
      </c>
      <c r="F53" s="12" t="inlineStr">
        <is>
          <t>3+ team corners</t>
        </is>
      </c>
      <c r="G53" s="14" t="n">
        <v>4.5</v>
      </c>
      <c r="H53" s="14" t="n">
        <v>4.12</v>
      </c>
      <c r="I53" s="12" t="inlineStr">
        <is>
          <t>5/5</t>
        </is>
      </c>
      <c r="J53" s="17">
        <f>K53*(0.6+0.4*5/5)</f>
        <v/>
      </c>
      <c r="K53" s="14" t="n">
        <v>4.19</v>
      </c>
      <c r="L53" s="15">
        <f>IFERROR(1-(EXP(GAMMALN(0+'Read me'!$B$6)-GAMMALN('Read me'!$B$6)-GAMMALN(0+1)+'Read me'!$B$6*LN('Read me'!$B$6/('Read me'!$B$6+K53))+0*LN(K53/('Read me'!$B$6+K53)))+EXP(GAMMALN(1+'Read me'!$B$6)-GAMMALN('Read me'!$B$6)-GAMMALN(1+1)+'Read me'!$B$6*LN('Read me'!$B$6/('Read me'!$B$6+K53))+1*LN(K53/('Read me'!$B$6+K53)))+EXP(GAMMALN(2+'Read me'!$B$6)-GAMMALN('Read me'!$B$6)-GAMMALN(2+1)+'Read me'!$B$6*LN('Read me'!$B$6/('Read me'!$B$6+K53))+2*LN(K53/('Read me'!$B$6+K53)))),"")</f>
        <v/>
      </c>
      <c r="M53" s="16" t="n">
        <v>0</v>
      </c>
      <c r="N53" s="17">
        <f>IFERROR(1/L53,"")</f>
        <v/>
      </c>
      <c r="O53" s="18" t="n"/>
      <c r="P53" s="19">
        <f>IF(O53="","",O53*L53-1)</f>
        <v/>
      </c>
      <c r="Q53" s="20">
        <f>IF(P53="","awaiting price",IF(P53&gt;='Read me'!$B$7,"BET",IF(P53&gt;=0,"thin","no bet")))</f>
        <v/>
      </c>
    </row>
    <row r="54">
      <c r="A54" s="11" t="n">
        <v>46298</v>
      </c>
      <c r="B54" s="12" t="inlineStr">
        <is>
          <t>Netherlands Eerste Divisie</t>
        </is>
      </c>
      <c r="C54" s="12" t="inlineStr">
        <is>
          <t>FC OSS v MVV</t>
        </is>
      </c>
      <c r="D54" s="12" t="inlineStr">
        <is>
          <t>MVV</t>
        </is>
      </c>
      <c r="E54" s="12" t="inlineStr">
        <is>
          <t>Away</t>
        </is>
      </c>
      <c r="F54" s="12" t="inlineStr">
        <is>
          <t>3+ team corners</t>
        </is>
      </c>
      <c r="G54" s="14" t="n">
        <v>2.44</v>
      </c>
      <c r="H54" s="14" t="n">
        <v>6.22</v>
      </c>
      <c r="I54" s="12" t="inlineStr">
        <is>
          <t>5/5</t>
        </is>
      </c>
      <c r="J54" s="17">
        <f>K54*(0.6+0.4*5/5)</f>
        <v/>
      </c>
      <c r="K54" s="14" t="n">
        <v>4.19</v>
      </c>
      <c r="L54" s="15">
        <f>IFERROR(1-(EXP(GAMMALN(0+'Read me'!$B$6)-GAMMALN('Read me'!$B$6)-GAMMALN(0+1)+'Read me'!$B$6*LN('Read me'!$B$6/('Read me'!$B$6+K54))+0*LN(K54/('Read me'!$B$6+K54)))+EXP(GAMMALN(1+'Read me'!$B$6)-GAMMALN('Read me'!$B$6)-GAMMALN(1+1)+'Read me'!$B$6*LN('Read me'!$B$6/('Read me'!$B$6+K54))+1*LN(K54/('Read me'!$B$6+K54)))+EXP(GAMMALN(2+'Read me'!$B$6)-GAMMALN('Read me'!$B$6)-GAMMALN(2+1)+'Read me'!$B$6*LN('Read me'!$B$6/('Read me'!$B$6+K54))+2*LN(K54/('Read me'!$B$6+K54)))),"")</f>
        <v/>
      </c>
      <c r="M54" s="16" t="n">
        <v>0</v>
      </c>
      <c r="N54" s="17">
        <f>IFERROR(1/L54,"")</f>
        <v/>
      </c>
      <c r="O54" s="18" t="n"/>
      <c r="P54" s="19">
        <f>IF(O54="","",O54*L54-1)</f>
        <v/>
      </c>
      <c r="Q54" s="20">
        <f>IF(P54="","awaiting price",IF(P54&gt;='Read me'!$B$7,"BET",IF(P54&gt;=0,"thin","no bet")))</f>
        <v/>
      </c>
    </row>
    <row r="55">
      <c r="A55" s="11" t="n">
        <v>46298</v>
      </c>
      <c r="B55" s="12" t="inlineStr">
        <is>
          <t>Brazil Série B</t>
        </is>
      </c>
      <c r="C55" s="12" t="inlineStr">
        <is>
          <t>Fortaleza EC v Nautico Recife</t>
        </is>
      </c>
      <c r="D55" s="12" t="inlineStr">
        <is>
          <t>Fortaleza EC</t>
        </is>
      </c>
      <c r="E55" s="12" t="inlineStr">
        <is>
          <t>Home</t>
        </is>
      </c>
      <c r="F55" s="12" t="inlineStr">
        <is>
          <t>5+ team corners</t>
        </is>
      </c>
      <c r="G55" s="14" t="n">
        <v>7</v>
      </c>
      <c r="H55" s="14" t="n">
        <v>4.7</v>
      </c>
      <c r="I55" s="12" t="inlineStr">
        <is>
          <t>1/5</t>
        </is>
      </c>
      <c r="J55" s="17">
        <f>K55*(0.6+0.4*1/5)</f>
        <v/>
      </c>
      <c r="K55" s="14" t="n">
        <v>6.16</v>
      </c>
      <c r="L55" s="15">
        <f>IFERROR(1-(EXP(GAMMALN(0+'Read me'!$B$6)-GAMMALN('Read me'!$B$6)-GAMMALN(0+1)+'Read me'!$B$6*LN('Read me'!$B$6/('Read me'!$B$6+K55))+0*LN(K55/('Read me'!$B$6+K55)))+EXP(GAMMALN(1+'Read me'!$B$6)-GAMMALN('Read me'!$B$6)-GAMMALN(1+1)+'Read me'!$B$6*LN('Read me'!$B$6/('Read me'!$B$6+K55))+1*LN(K55/('Read me'!$B$6+K55)))+EXP(GAMMALN(2+'Read me'!$B$6)-GAMMALN('Read me'!$B$6)-GAMMALN(2+1)+'Read me'!$B$6*LN('Read me'!$B$6/('Read me'!$B$6+K55))+2*LN(K55/('Read me'!$B$6+K55)))+EXP(GAMMALN(3+'Read me'!$B$6)-GAMMALN('Read me'!$B$6)-GAMMALN(3+1)+'Read me'!$B$6*LN('Read me'!$B$6/('Read me'!$B$6+K55))+3*LN(K55/('Read me'!$B$6+K55)))+EXP(GAMMALN(4+'Read me'!$B$6)-GAMMALN('Read me'!$B$6)-GAMMALN(4+1)+'Read me'!$B$6*LN('Read me'!$B$6/('Read me'!$B$6+K55))+4*LN(K55/('Read me'!$B$6+K55)))),"")</f>
        <v/>
      </c>
      <c r="M55" s="16" t="n">
        <v>0</v>
      </c>
      <c r="N55" s="17">
        <f>IFERROR(1/L55,"")</f>
        <v/>
      </c>
      <c r="O55" s="18" t="n"/>
      <c r="P55" s="19">
        <f>IF(O55="","",O55*L55-1)</f>
        <v/>
      </c>
      <c r="Q55" s="20">
        <f>IF(P55="","awaiting price",IF(P55&gt;='Read me'!$B$7,"BET",IF(P55&gt;=0,"thin","no bet")))</f>
        <v/>
      </c>
    </row>
    <row r="56">
      <c r="A56" s="11" t="n">
        <v>46301</v>
      </c>
      <c r="B56" s="12" t="inlineStr">
        <is>
          <t>Brazil Série B</t>
        </is>
      </c>
      <c r="C56" s="12" t="inlineStr">
        <is>
          <t>Goias v Athletic Club</t>
        </is>
      </c>
      <c r="D56" s="12" t="inlineStr">
        <is>
          <t>Athletic Club</t>
        </is>
      </c>
      <c r="E56" s="12" t="inlineStr">
        <is>
          <t>Away</t>
        </is>
      </c>
      <c r="F56" s="12" t="inlineStr">
        <is>
          <t>3+ team corners</t>
        </is>
      </c>
      <c r="G56" s="14" t="n">
        <v>3.4</v>
      </c>
      <c r="H56" s="14" t="n">
        <v>5.2</v>
      </c>
      <c r="I56" s="12" t="inlineStr">
        <is>
          <t>5/5</t>
        </is>
      </c>
      <c r="J56" s="17">
        <f>K56*(0.6+0.4*5/5)</f>
        <v/>
      </c>
      <c r="K56" s="14" t="n">
        <v>4.18</v>
      </c>
      <c r="L56" s="15">
        <f>IFERROR(1-(EXP(GAMMALN(0+'Read me'!$B$6)-GAMMALN('Read me'!$B$6)-GAMMALN(0+1)+'Read me'!$B$6*LN('Read me'!$B$6/('Read me'!$B$6+K56))+0*LN(K56/('Read me'!$B$6+K56)))+EXP(GAMMALN(1+'Read me'!$B$6)-GAMMALN('Read me'!$B$6)-GAMMALN(1+1)+'Read me'!$B$6*LN('Read me'!$B$6/('Read me'!$B$6+K56))+1*LN(K56/('Read me'!$B$6+K56)))+EXP(GAMMALN(2+'Read me'!$B$6)-GAMMALN('Read me'!$B$6)-GAMMALN(2+1)+'Read me'!$B$6*LN('Read me'!$B$6/('Read me'!$B$6+K56))+2*LN(K56/('Read me'!$B$6+K56)))),"")</f>
        <v/>
      </c>
      <c r="M56" s="16" t="n">
        <v>0</v>
      </c>
      <c r="N56" s="17">
        <f>IFERROR(1/L56,"")</f>
        <v/>
      </c>
      <c r="O56" s="18" t="n"/>
      <c r="P56" s="19">
        <f>IF(O56="","",O56*L56-1)</f>
        <v/>
      </c>
      <c r="Q56" s="20">
        <f>IF(P56="","awaiting price",IF(P56&gt;='Read me'!$B$7,"BET",IF(P56&gt;=0,"thin","no bet")))</f>
        <v/>
      </c>
    </row>
    <row r="57">
      <c r="A57" s="11" t="n">
        <v>46298</v>
      </c>
      <c r="B57" s="12" t="inlineStr">
        <is>
          <t>England League One</t>
        </is>
      </c>
      <c r="C57" s="12" t="inlineStr">
        <is>
          <t>Burton Albion v Huddersfield</t>
        </is>
      </c>
      <c r="D57" s="12" t="inlineStr">
        <is>
          <t>Burton Albion</t>
        </is>
      </c>
      <c r="E57" s="12" t="inlineStr">
        <is>
          <t>Home</t>
        </is>
      </c>
      <c r="F57" s="12" t="inlineStr">
        <is>
          <t>4+ team corners</t>
        </is>
      </c>
      <c r="G57" s="14" t="n">
        <v>4.9</v>
      </c>
      <c r="H57" s="14" t="n">
        <v>4.2</v>
      </c>
      <c r="I57" s="12" t="inlineStr">
        <is>
          <t>4/5</t>
        </is>
      </c>
      <c r="J57" s="17">
        <f>K57*(0.6+0.4*4/5)</f>
        <v/>
      </c>
      <c r="K57" s="14" t="n">
        <v>4.52</v>
      </c>
      <c r="L57" s="15">
        <f>IFERROR(1-(EXP(GAMMALN(0+'Read me'!$B$6)-GAMMALN('Read me'!$B$6)-GAMMALN(0+1)+'Read me'!$B$6*LN('Read me'!$B$6/('Read me'!$B$6+K57))+0*LN(K57/('Read me'!$B$6+K57)))+EXP(GAMMALN(1+'Read me'!$B$6)-GAMMALN('Read me'!$B$6)-GAMMALN(1+1)+'Read me'!$B$6*LN('Read me'!$B$6/('Read me'!$B$6+K57))+1*LN(K57/('Read me'!$B$6+K57)))+EXP(GAMMALN(2+'Read me'!$B$6)-GAMMALN('Read me'!$B$6)-GAMMALN(2+1)+'Read me'!$B$6*LN('Read me'!$B$6/('Read me'!$B$6+K57))+2*LN(K57/('Read me'!$B$6+K57)))+EXP(GAMMALN(3+'Read me'!$B$6)-GAMMALN('Read me'!$B$6)-GAMMALN(3+1)+'Read me'!$B$6*LN('Read me'!$B$6/('Read me'!$B$6+K57))+3*LN(K57/('Read me'!$B$6+K57)))),"")</f>
        <v/>
      </c>
      <c r="M57" s="16" t="n">
        <v>0</v>
      </c>
      <c r="N57" s="17">
        <f>IFERROR(1/L57,"")</f>
        <v/>
      </c>
      <c r="O57" s="18" t="n"/>
      <c r="P57" s="19">
        <f>IF(O57="","",O57*L57-1)</f>
        <v/>
      </c>
      <c r="Q57" s="20">
        <f>IF(P57="","awaiting price",IF(P57&gt;='Read me'!$B$7,"BET",IF(P57&gt;=0,"thin","no bet")))</f>
        <v/>
      </c>
    </row>
    <row r="58">
      <c r="A58" s="11" t="n">
        <v>46298</v>
      </c>
      <c r="B58" s="12" t="inlineStr">
        <is>
          <t>England League One</t>
        </is>
      </c>
      <c r="C58" s="12" t="inlineStr">
        <is>
          <t>Leyton Orient v Plymouth</t>
        </is>
      </c>
      <c r="D58" s="12" t="inlineStr">
        <is>
          <t>Leyton Orient</t>
        </is>
      </c>
      <c r="E58" s="12" t="inlineStr">
        <is>
          <t>Home</t>
        </is>
      </c>
      <c r="F58" s="12" t="inlineStr">
        <is>
          <t>4+ team corners</t>
        </is>
      </c>
      <c r="G58" s="14" t="n">
        <v>5.6</v>
      </c>
      <c r="H58" s="14" t="n">
        <v>4.4</v>
      </c>
      <c r="I58" s="12" t="inlineStr">
        <is>
          <t>3/5</t>
        </is>
      </c>
      <c r="J58" s="17">
        <f>K58*(0.6+0.4*3/5)</f>
        <v/>
      </c>
      <c r="K58" s="14" t="n">
        <v>4.95</v>
      </c>
      <c r="L58" s="15">
        <f>IFERROR(1-(EXP(GAMMALN(0+'Read me'!$B$6)-GAMMALN('Read me'!$B$6)-GAMMALN(0+1)+'Read me'!$B$6*LN('Read me'!$B$6/('Read me'!$B$6+K58))+0*LN(K58/('Read me'!$B$6+K58)))+EXP(GAMMALN(1+'Read me'!$B$6)-GAMMALN('Read me'!$B$6)-GAMMALN(1+1)+'Read me'!$B$6*LN('Read me'!$B$6/('Read me'!$B$6+K58))+1*LN(K58/('Read me'!$B$6+K58)))+EXP(GAMMALN(2+'Read me'!$B$6)-GAMMALN('Read me'!$B$6)-GAMMALN(2+1)+'Read me'!$B$6*LN('Read me'!$B$6/('Read me'!$B$6+K58))+2*LN(K58/('Read me'!$B$6+K58)))+EXP(GAMMALN(3+'Read me'!$B$6)-GAMMALN('Read me'!$B$6)-GAMMALN(3+1)+'Read me'!$B$6*LN('Read me'!$B$6/('Read me'!$B$6+K58))+3*LN(K58/('Read me'!$B$6+K58)))),"")</f>
        <v/>
      </c>
      <c r="M58" s="16" t="n">
        <v>0</v>
      </c>
      <c r="N58" s="17">
        <f>IFERROR(1/L58,"")</f>
        <v/>
      </c>
      <c r="O58" s="18" t="n"/>
      <c r="P58" s="19">
        <f>IF(O58="","",O58*L58-1)</f>
        <v/>
      </c>
      <c r="Q58" s="20">
        <f>IF(P58="","awaiting price",IF(P58&gt;='Read me'!$B$7,"BET",IF(P58&gt;=0,"thin","no bet")))</f>
        <v/>
      </c>
    </row>
    <row r="59">
      <c r="A59" s="11" t="n">
        <v>46298</v>
      </c>
      <c r="B59" s="12" t="inlineStr">
        <is>
          <t>Netherlands Eerste Divisie</t>
        </is>
      </c>
      <c r="C59" s="12" t="inlineStr">
        <is>
          <t>Den Bosch v Dordrecht</t>
        </is>
      </c>
      <c r="D59" s="12" t="inlineStr">
        <is>
          <t>Dordrecht</t>
        </is>
      </c>
      <c r="E59" s="12" t="inlineStr">
        <is>
          <t>Away</t>
        </is>
      </c>
      <c r="F59" s="12" t="inlineStr">
        <is>
          <t>4+ team corners</t>
        </is>
      </c>
      <c r="G59" s="14" t="n">
        <v>4.89</v>
      </c>
      <c r="H59" s="14" t="n">
        <v>4.9</v>
      </c>
      <c r="I59" s="12" t="inlineStr">
        <is>
          <t>3/5</t>
        </is>
      </c>
      <c r="J59" s="17">
        <f>K59*(0.6+0.4*3/5)</f>
        <v/>
      </c>
      <c r="K59" s="14" t="n">
        <v>4.94</v>
      </c>
      <c r="L59" s="15">
        <f>IFERROR(1-(EXP(GAMMALN(0+'Read me'!$B$6)-GAMMALN('Read me'!$B$6)-GAMMALN(0+1)+'Read me'!$B$6*LN('Read me'!$B$6/('Read me'!$B$6+K59))+0*LN(K59/('Read me'!$B$6+K59)))+EXP(GAMMALN(1+'Read me'!$B$6)-GAMMALN('Read me'!$B$6)-GAMMALN(1+1)+'Read me'!$B$6*LN('Read me'!$B$6/('Read me'!$B$6+K59))+1*LN(K59/('Read me'!$B$6+K59)))+EXP(GAMMALN(2+'Read me'!$B$6)-GAMMALN('Read me'!$B$6)-GAMMALN(2+1)+'Read me'!$B$6*LN('Read me'!$B$6/('Read me'!$B$6+K59))+2*LN(K59/('Read me'!$B$6+K59)))+EXP(GAMMALN(3+'Read me'!$B$6)-GAMMALN('Read me'!$B$6)-GAMMALN(3+1)+'Read me'!$B$6*LN('Read me'!$B$6/('Read me'!$B$6+K59))+3*LN(K59/('Read me'!$B$6+K59)))),"")</f>
        <v/>
      </c>
      <c r="M59" s="16" t="n">
        <v>0</v>
      </c>
      <c r="N59" s="17">
        <f>IFERROR(1/L59,"")</f>
        <v/>
      </c>
      <c r="O59" s="18" t="n"/>
      <c r="P59" s="19">
        <f>IF(O59="","",O59*L59-1)</f>
        <v/>
      </c>
      <c r="Q59" s="20">
        <f>IF(P59="","awaiting price",IF(P59&gt;='Read me'!$B$7,"BET",IF(P59&gt;=0,"thin","no bet")))</f>
        <v/>
      </c>
    </row>
    <row r="60">
      <c r="A60" s="11" t="n">
        <v>46298</v>
      </c>
      <c r="B60" s="12" t="inlineStr">
        <is>
          <t>Netherlands Eerste Divisie</t>
        </is>
      </c>
      <c r="C60" s="12" t="inlineStr">
        <is>
          <t>Vitesse v NAC Breda</t>
        </is>
      </c>
      <c r="D60" s="12" t="inlineStr">
        <is>
          <t>NAC Breda</t>
        </is>
      </c>
      <c r="E60" s="12" t="inlineStr">
        <is>
          <t>Away</t>
        </is>
      </c>
      <c r="F60" s="12" t="inlineStr">
        <is>
          <t>3+ team corners</t>
        </is>
      </c>
      <c r="G60" s="14" t="n">
        <v>5.75</v>
      </c>
      <c r="H60" s="14" t="n">
        <v>2</v>
      </c>
      <c r="I60" s="12" t="inlineStr">
        <is>
          <t>5/5</t>
        </is>
      </c>
      <c r="J60" s="17">
        <f>K60*(0.6+0.4*5/5)</f>
        <v/>
      </c>
      <c r="K60" s="14" t="n">
        <v>4.07</v>
      </c>
      <c r="L60" s="15">
        <f>IFERROR(1-(EXP(GAMMALN(0+'Read me'!$B$6)-GAMMALN('Read me'!$B$6)-GAMMALN(0+1)+'Read me'!$B$6*LN('Read me'!$B$6/('Read me'!$B$6+K60))+0*LN(K60/('Read me'!$B$6+K60)))+EXP(GAMMALN(1+'Read me'!$B$6)-GAMMALN('Read me'!$B$6)-GAMMALN(1+1)+'Read me'!$B$6*LN('Read me'!$B$6/('Read me'!$B$6+K60))+1*LN(K60/('Read me'!$B$6+K60)))+EXP(GAMMALN(2+'Read me'!$B$6)-GAMMALN('Read me'!$B$6)-GAMMALN(2+1)+'Read me'!$B$6*LN('Read me'!$B$6/('Read me'!$B$6+K60))+2*LN(K60/('Read me'!$B$6+K60)))),"")</f>
        <v/>
      </c>
      <c r="M60" s="16" t="n">
        <v>0</v>
      </c>
      <c r="N60" s="17">
        <f>IFERROR(1/L60,"")</f>
        <v/>
      </c>
      <c r="O60" s="18" t="n"/>
      <c r="P60" s="19">
        <f>IF(O60="","",O60*L60-1)</f>
        <v/>
      </c>
      <c r="Q60" s="20">
        <f>IF(P60="","awaiting price",IF(P60&gt;='Read me'!$B$7,"BET",IF(P60&gt;=0,"thin","no bet")))</f>
        <v/>
      </c>
    </row>
    <row r="61">
      <c r="A61" s="11" t="n">
        <v>46298</v>
      </c>
      <c r="B61" s="12" t="inlineStr">
        <is>
          <t>Argentina Liga Profesional</t>
        </is>
      </c>
      <c r="C61" s="12" t="inlineStr">
        <is>
          <t>Newells Old Boys v Lanus</t>
        </is>
      </c>
      <c r="D61" s="12" t="inlineStr">
        <is>
          <t>Newells Old Boys</t>
        </is>
      </c>
      <c r="E61" s="12" t="inlineStr">
        <is>
          <t>Home</t>
        </is>
      </c>
      <c r="F61" s="12" t="inlineStr">
        <is>
          <t>4+ team corners</t>
        </is>
      </c>
      <c r="G61" s="14" t="n">
        <v>5.71</v>
      </c>
      <c r="H61" s="14" t="n">
        <v>5.12</v>
      </c>
      <c r="I61" s="12" t="inlineStr">
        <is>
          <t>2/5</t>
        </is>
      </c>
      <c r="J61" s="17">
        <f>K61*(0.6+0.4*2/5)</f>
        <v/>
      </c>
      <c r="K61" s="14" t="n">
        <v>5.32</v>
      </c>
      <c r="L61" s="15">
        <f>IFERROR(1-(EXP(GAMMALN(0+'Read me'!$B$6)-GAMMALN('Read me'!$B$6)-GAMMALN(0+1)+'Read me'!$B$6*LN('Read me'!$B$6/('Read me'!$B$6+K61))+0*LN(K61/('Read me'!$B$6+K61)))+EXP(GAMMALN(1+'Read me'!$B$6)-GAMMALN('Read me'!$B$6)-GAMMALN(1+1)+'Read me'!$B$6*LN('Read me'!$B$6/('Read me'!$B$6+K61))+1*LN(K61/('Read me'!$B$6+K61)))+EXP(GAMMALN(2+'Read me'!$B$6)-GAMMALN('Read me'!$B$6)-GAMMALN(2+1)+'Read me'!$B$6*LN('Read me'!$B$6/('Read me'!$B$6+K61))+2*LN(K61/('Read me'!$B$6+K61)))+EXP(GAMMALN(3+'Read me'!$B$6)-GAMMALN('Read me'!$B$6)-GAMMALN(3+1)+'Read me'!$B$6*LN('Read me'!$B$6/('Read me'!$B$6+K61))+3*LN(K61/('Read me'!$B$6+K61)))),"")</f>
        <v/>
      </c>
      <c r="M61" s="16" t="n">
        <v>0</v>
      </c>
      <c r="N61" s="17">
        <f>IFERROR(1/L61,"")</f>
        <v/>
      </c>
      <c r="O61" s="18" t="n"/>
      <c r="P61" s="19">
        <f>IF(O61="","",O61*L61-1)</f>
        <v/>
      </c>
      <c r="Q61" s="20">
        <f>IF(P61="","awaiting price",IF(P61&gt;='Read me'!$B$7,"BET",IF(P61&gt;=0,"thin","no bet")))</f>
        <v/>
      </c>
    </row>
    <row r="62">
      <c r="A62" s="11" t="n">
        <v>46299</v>
      </c>
      <c r="B62" s="12" t="inlineStr">
        <is>
          <t>Argentina Liga Profesional</t>
        </is>
      </c>
      <c r="C62" s="12" t="inlineStr">
        <is>
          <t>Huracan v Aldosivi</t>
        </is>
      </c>
      <c r="D62" s="12" t="inlineStr">
        <is>
          <t>Huracan</t>
        </is>
      </c>
      <c r="E62" s="12" t="inlineStr">
        <is>
          <t>Home</t>
        </is>
      </c>
      <c r="F62" s="12" t="inlineStr">
        <is>
          <t>5+ team corners</t>
        </is>
      </c>
      <c r="G62" s="14" t="n">
        <v>5.38</v>
      </c>
      <c r="H62" s="14" t="n">
        <v>6.12</v>
      </c>
      <c r="I62" s="12" t="inlineStr">
        <is>
          <t>1/5</t>
        </is>
      </c>
      <c r="J62" s="17">
        <f>K62*(0.6+0.4*1/5)</f>
        <v/>
      </c>
      <c r="K62" s="14" t="n">
        <v>5.93</v>
      </c>
      <c r="L62" s="15">
        <f>IFERROR(1-(EXP(GAMMALN(0+'Read me'!$B$6)-GAMMALN('Read me'!$B$6)-GAMMALN(0+1)+'Read me'!$B$6*LN('Read me'!$B$6/('Read me'!$B$6+K62))+0*LN(K62/('Read me'!$B$6+K62)))+EXP(GAMMALN(1+'Read me'!$B$6)-GAMMALN('Read me'!$B$6)-GAMMALN(1+1)+'Read me'!$B$6*LN('Read me'!$B$6/('Read me'!$B$6+K62))+1*LN(K62/('Read me'!$B$6+K62)))+EXP(GAMMALN(2+'Read me'!$B$6)-GAMMALN('Read me'!$B$6)-GAMMALN(2+1)+'Read me'!$B$6*LN('Read me'!$B$6/('Read me'!$B$6+K62))+2*LN(K62/('Read me'!$B$6+K62)))+EXP(GAMMALN(3+'Read me'!$B$6)-GAMMALN('Read me'!$B$6)-GAMMALN(3+1)+'Read me'!$B$6*LN('Read me'!$B$6/('Read me'!$B$6+K62))+3*LN(K62/('Read me'!$B$6+K62)))+EXP(GAMMALN(4+'Read me'!$B$6)-GAMMALN('Read me'!$B$6)-GAMMALN(4+1)+'Read me'!$B$6*LN('Read me'!$B$6/('Read me'!$B$6+K62))+4*LN(K62/('Read me'!$B$6+K62)))),"")</f>
        <v/>
      </c>
      <c r="M62" s="16" t="n">
        <v>0</v>
      </c>
      <c r="N62" s="17">
        <f>IFERROR(1/L62,"")</f>
        <v/>
      </c>
      <c r="O62" s="18" t="n"/>
      <c r="P62" s="19">
        <f>IF(O62="","",O62*L62-1)</f>
        <v/>
      </c>
      <c r="Q62" s="20">
        <f>IF(P62="","awaiting price",IF(P62&gt;='Read me'!$B$7,"BET",IF(P62&gt;=0,"thin","no bet")))</f>
        <v/>
      </c>
    </row>
    <row r="63">
      <c r="A63" s="11" t="n">
        <v>46298</v>
      </c>
      <c r="B63" s="12" t="inlineStr">
        <is>
          <t>England League Two</t>
        </is>
      </c>
      <c r="C63" s="12" t="inlineStr">
        <is>
          <t>Gillingham v Newport County</t>
        </is>
      </c>
      <c r="D63" s="12" t="inlineStr">
        <is>
          <t>Gillingham</t>
        </is>
      </c>
      <c r="E63" s="12" t="inlineStr">
        <is>
          <t>Home</t>
        </is>
      </c>
      <c r="F63" s="12" t="inlineStr">
        <is>
          <t>4+ team corners</t>
        </is>
      </c>
      <c r="G63" s="14" t="n">
        <v>4.6</v>
      </c>
      <c r="H63" s="14" t="n">
        <v>6.11</v>
      </c>
      <c r="I63" s="12" t="inlineStr">
        <is>
          <t>2/5</t>
        </is>
      </c>
      <c r="J63" s="17">
        <f>K63*(0.6+0.4*2/5)</f>
        <v/>
      </c>
      <c r="K63" s="14" t="n">
        <v>5.3</v>
      </c>
      <c r="L63" s="15">
        <f>IFERROR(1-(EXP(GAMMALN(0+'Read me'!$B$6)-GAMMALN('Read me'!$B$6)-GAMMALN(0+1)+'Read me'!$B$6*LN('Read me'!$B$6/('Read me'!$B$6+K63))+0*LN(K63/('Read me'!$B$6+K63)))+EXP(GAMMALN(1+'Read me'!$B$6)-GAMMALN('Read me'!$B$6)-GAMMALN(1+1)+'Read me'!$B$6*LN('Read me'!$B$6/('Read me'!$B$6+K63))+1*LN(K63/('Read me'!$B$6+K63)))+EXP(GAMMALN(2+'Read me'!$B$6)-GAMMALN('Read me'!$B$6)-GAMMALN(2+1)+'Read me'!$B$6*LN('Read me'!$B$6/('Read me'!$B$6+K63))+2*LN(K63/('Read me'!$B$6+K63)))+EXP(GAMMALN(3+'Read me'!$B$6)-GAMMALN('Read me'!$B$6)-GAMMALN(3+1)+'Read me'!$B$6*LN('Read me'!$B$6/('Read me'!$B$6+K63))+3*LN(K63/('Read me'!$B$6+K63)))),"")</f>
        <v/>
      </c>
      <c r="M63" s="16" t="n">
        <v>0</v>
      </c>
      <c r="N63" s="17">
        <f>IFERROR(1/L63,"")</f>
        <v/>
      </c>
      <c r="O63" s="18" t="n"/>
      <c r="P63" s="19">
        <f>IF(O63="","",O63*L63-1)</f>
        <v/>
      </c>
      <c r="Q63" s="20">
        <f>IF(P63="","awaiting price",IF(P63&gt;='Read me'!$B$7,"BET",IF(P63&gt;=0,"thin","no bet")))</f>
        <v/>
      </c>
    </row>
    <row r="64">
      <c r="A64" s="11" t="n">
        <v>46302</v>
      </c>
      <c r="B64" s="12" t="inlineStr">
        <is>
          <t>Brazil Série A</t>
        </is>
      </c>
      <c r="C64" s="12" t="inlineStr">
        <is>
          <t>RB Bragantino v Mirassol</t>
        </is>
      </c>
      <c r="D64" s="12" t="inlineStr">
        <is>
          <t>Mirassol</t>
        </is>
      </c>
      <c r="E64" s="12" t="inlineStr">
        <is>
          <t>Away</t>
        </is>
      </c>
      <c r="F64" s="12" t="inlineStr">
        <is>
          <t>3+ team corners</t>
        </is>
      </c>
      <c r="G64" s="14" t="n">
        <v>4.22</v>
      </c>
      <c r="H64" s="14" t="n">
        <v>3.9</v>
      </c>
      <c r="I64" s="12" t="inlineStr">
        <is>
          <t>5/5</t>
        </is>
      </c>
      <c r="J64" s="17">
        <f>K64*(0.6+0.4*5/5)</f>
        <v/>
      </c>
      <c r="K64" s="14" t="n">
        <v>4.01</v>
      </c>
      <c r="L64" s="15">
        <f>IFERROR(1-(EXP(GAMMALN(0+'Read me'!$B$6)-GAMMALN('Read me'!$B$6)-GAMMALN(0+1)+'Read me'!$B$6*LN('Read me'!$B$6/('Read me'!$B$6+K64))+0*LN(K64/('Read me'!$B$6+K64)))+EXP(GAMMALN(1+'Read me'!$B$6)-GAMMALN('Read me'!$B$6)-GAMMALN(1+1)+'Read me'!$B$6*LN('Read me'!$B$6/('Read me'!$B$6+K64))+1*LN(K64/('Read me'!$B$6+K64)))+EXP(GAMMALN(2+'Read me'!$B$6)-GAMMALN('Read me'!$B$6)-GAMMALN(2+1)+'Read me'!$B$6*LN('Read me'!$B$6/('Read me'!$B$6+K64))+2*LN(K64/('Read me'!$B$6+K64)))),"")</f>
        <v/>
      </c>
      <c r="M64" s="16" t="n">
        <v>0</v>
      </c>
      <c r="N64" s="17">
        <f>IFERROR(1/L64,"")</f>
        <v/>
      </c>
      <c r="O64" s="18" t="n"/>
      <c r="P64" s="19">
        <f>IF(O64="","",O64*L64-1)</f>
        <v/>
      </c>
      <c r="Q64" s="20">
        <f>IF(P64="","awaiting price",IF(P64&gt;='Read me'!$B$7,"BET",IF(P64&gt;=0,"thin","no bet")))</f>
        <v/>
      </c>
    </row>
    <row r="65">
      <c r="A65" s="11" t="n">
        <v>46300</v>
      </c>
      <c r="B65" s="12" t="inlineStr">
        <is>
          <t>Argentina Liga Profesional</t>
        </is>
      </c>
      <c r="C65" s="12" t="inlineStr">
        <is>
          <t>Estudiantes L.P. v Gimnasia M.</t>
        </is>
      </c>
      <c r="D65" s="12" t="inlineStr">
        <is>
          <t>Estudiantes L.P.</t>
        </is>
      </c>
      <c r="E65" s="12" t="inlineStr">
        <is>
          <t>Home</t>
        </is>
      </c>
      <c r="F65" s="12" t="inlineStr">
        <is>
          <t>4+ team corners</t>
        </is>
      </c>
      <c r="G65" s="14" t="n">
        <v>4.44</v>
      </c>
      <c r="H65" s="14" t="n">
        <v>4.75</v>
      </c>
      <c r="I65" s="12" t="inlineStr">
        <is>
          <t>3/5</t>
        </is>
      </c>
      <c r="J65" s="17">
        <f>K65*(0.6+0.4*3/5)</f>
        <v/>
      </c>
      <c r="K65" s="14" t="n">
        <v>4.77</v>
      </c>
      <c r="L65" s="15">
        <f>IFERROR(1-(EXP(GAMMALN(0+'Read me'!$B$6)-GAMMALN('Read me'!$B$6)-GAMMALN(0+1)+'Read me'!$B$6*LN('Read me'!$B$6/('Read me'!$B$6+K65))+0*LN(K65/('Read me'!$B$6+K65)))+EXP(GAMMALN(1+'Read me'!$B$6)-GAMMALN('Read me'!$B$6)-GAMMALN(1+1)+'Read me'!$B$6*LN('Read me'!$B$6/('Read me'!$B$6+K65))+1*LN(K65/('Read me'!$B$6+K65)))+EXP(GAMMALN(2+'Read me'!$B$6)-GAMMALN('Read me'!$B$6)-GAMMALN(2+1)+'Read me'!$B$6*LN('Read me'!$B$6/('Read me'!$B$6+K65))+2*LN(K65/('Read me'!$B$6+K65)))+EXP(GAMMALN(3+'Read me'!$B$6)-GAMMALN('Read me'!$B$6)-GAMMALN(3+1)+'Read me'!$B$6*LN('Read me'!$B$6/('Read me'!$B$6+K65))+3*LN(K65/('Read me'!$B$6+K65)))),"")</f>
        <v/>
      </c>
      <c r="M65" s="16" t="n">
        <v>0</v>
      </c>
      <c r="N65" s="17">
        <f>IFERROR(1/L65,"")</f>
        <v/>
      </c>
      <c r="O65" s="18" t="n"/>
      <c r="P65" s="19">
        <f>IF(O65="","",O65*L65-1)</f>
        <v/>
      </c>
      <c r="Q65" s="20">
        <f>IF(P65="","awaiting price",IF(P65&gt;='Read me'!$B$7,"BET",IF(P65&gt;=0,"thin","no bet")))</f>
        <v/>
      </c>
    </row>
    <row r="66">
      <c r="A66" s="11" t="n">
        <v>46298</v>
      </c>
      <c r="B66" s="12" t="inlineStr">
        <is>
          <t>England League Two</t>
        </is>
      </c>
      <c r="C66" s="12" t="inlineStr">
        <is>
          <t>Walsall v Crawley Town</t>
        </is>
      </c>
      <c r="D66" s="12" t="inlineStr">
        <is>
          <t>Crawley Town</t>
        </is>
      </c>
      <c r="E66" s="12" t="inlineStr">
        <is>
          <t>Away</t>
        </is>
      </c>
      <c r="F66" s="12" t="inlineStr">
        <is>
          <t>3+ team corners</t>
        </is>
      </c>
      <c r="G66" s="14" t="n">
        <v>4.44</v>
      </c>
      <c r="H66" s="14" t="n">
        <v>4.1</v>
      </c>
      <c r="I66" s="12" t="inlineStr">
        <is>
          <t>4/5</t>
        </is>
      </c>
      <c r="J66" s="17">
        <f>K66*(0.6+0.4*4/5)</f>
        <v/>
      </c>
      <c r="K66" s="14" t="n">
        <v>4.34</v>
      </c>
      <c r="L66" s="15">
        <f>IFERROR(1-(EXP(GAMMALN(0+'Read me'!$B$6)-GAMMALN('Read me'!$B$6)-GAMMALN(0+1)+'Read me'!$B$6*LN('Read me'!$B$6/('Read me'!$B$6+K66))+0*LN(K66/('Read me'!$B$6+K66)))+EXP(GAMMALN(1+'Read me'!$B$6)-GAMMALN('Read me'!$B$6)-GAMMALN(1+1)+'Read me'!$B$6*LN('Read me'!$B$6/('Read me'!$B$6+K66))+1*LN(K66/('Read me'!$B$6+K66)))+EXP(GAMMALN(2+'Read me'!$B$6)-GAMMALN('Read me'!$B$6)-GAMMALN(2+1)+'Read me'!$B$6*LN('Read me'!$B$6/('Read me'!$B$6+K66))+2*LN(K66/('Read me'!$B$6+K66)))),"")</f>
        <v/>
      </c>
      <c r="M66" s="16" t="n">
        <v>0</v>
      </c>
      <c r="N66" s="17">
        <f>IFERROR(1/L66,"")</f>
        <v/>
      </c>
      <c r="O66" s="18" t="n"/>
      <c r="P66" s="19">
        <f>IF(O66="","",O66*L66-1)</f>
        <v/>
      </c>
      <c r="Q66" s="20">
        <f>IF(P66="","awaiting price",IF(P66&gt;='Read me'!$B$7,"BET",IF(P66&gt;=0,"thin","no bet")))</f>
        <v/>
      </c>
    </row>
    <row r="67">
      <c r="A67" s="11" t="n">
        <v>46297</v>
      </c>
      <c r="B67" s="12" t="inlineStr">
        <is>
          <t>Brazil Série B</t>
        </is>
      </c>
      <c r="C67" s="12" t="inlineStr">
        <is>
          <t>Juventude v Operario-PR</t>
        </is>
      </c>
      <c r="D67" s="12" t="inlineStr">
        <is>
          <t>Juventude</t>
        </is>
      </c>
      <c r="E67" s="12" t="inlineStr">
        <is>
          <t>Home</t>
        </is>
      </c>
      <c r="F67" s="12" t="inlineStr">
        <is>
          <t>5+ team corners</t>
        </is>
      </c>
      <c r="G67" s="14" t="n">
        <v>4.1</v>
      </c>
      <c r="H67" s="14" t="n">
        <v>7.27</v>
      </c>
      <c r="I67" s="12" t="inlineStr">
        <is>
          <t>1/5</t>
        </is>
      </c>
      <c r="J67" s="17">
        <f>K67*(0.6+0.4*1/5)</f>
        <v/>
      </c>
      <c r="K67" s="14" t="n">
        <v>5.83</v>
      </c>
      <c r="L67" s="15">
        <f>IFERROR(1-(EXP(GAMMALN(0+'Read me'!$B$6)-GAMMALN('Read me'!$B$6)-GAMMALN(0+1)+'Read me'!$B$6*LN('Read me'!$B$6/('Read me'!$B$6+K67))+0*LN(K67/('Read me'!$B$6+K67)))+EXP(GAMMALN(1+'Read me'!$B$6)-GAMMALN('Read me'!$B$6)-GAMMALN(1+1)+'Read me'!$B$6*LN('Read me'!$B$6/('Read me'!$B$6+K67))+1*LN(K67/('Read me'!$B$6+K67)))+EXP(GAMMALN(2+'Read me'!$B$6)-GAMMALN('Read me'!$B$6)-GAMMALN(2+1)+'Read me'!$B$6*LN('Read me'!$B$6/('Read me'!$B$6+K67))+2*LN(K67/('Read me'!$B$6+K67)))+EXP(GAMMALN(3+'Read me'!$B$6)-GAMMALN('Read me'!$B$6)-GAMMALN(3+1)+'Read me'!$B$6*LN('Read me'!$B$6/('Read me'!$B$6+K67))+3*LN(K67/('Read me'!$B$6+K67)))+EXP(GAMMALN(4+'Read me'!$B$6)-GAMMALN('Read me'!$B$6)-GAMMALN(4+1)+'Read me'!$B$6*LN('Read me'!$B$6/('Read me'!$B$6+K67))+4*LN(K67/('Read me'!$B$6+K67)))),"")</f>
        <v/>
      </c>
      <c r="M67" s="16" t="n">
        <v>0</v>
      </c>
      <c r="N67" s="17">
        <f>IFERROR(1/L67,"")</f>
        <v/>
      </c>
      <c r="O67" s="18" t="n"/>
      <c r="P67" s="19">
        <f>IF(O67="","",O67*L67-1)</f>
        <v/>
      </c>
      <c r="Q67" s="20">
        <f>IF(P67="","awaiting price",IF(P67&gt;='Read me'!$B$7,"BET",IF(P67&gt;=0,"thin","no bet")))</f>
        <v/>
      </c>
    </row>
    <row r="68">
      <c r="A68" s="11" t="n">
        <v>46298</v>
      </c>
      <c r="B68" s="12" t="inlineStr">
        <is>
          <t>England League Two</t>
        </is>
      </c>
      <c r="C68" s="12" t="inlineStr">
        <is>
          <t>Exeter City v Rotherham</t>
        </is>
      </c>
      <c r="D68" s="12" t="inlineStr">
        <is>
          <t>Rotherham</t>
        </is>
      </c>
      <c r="E68" s="12" t="inlineStr">
        <is>
          <t>Away</t>
        </is>
      </c>
      <c r="F68" s="12" t="inlineStr">
        <is>
          <t>3+ team corners</t>
        </is>
      </c>
      <c r="G68" s="14" t="n">
        <v>4.75</v>
      </c>
      <c r="H68" s="14" t="n">
        <v>3.25</v>
      </c>
      <c r="I68" s="12" t="inlineStr">
        <is>
          <t>5/5</t>
        </is>
      </c>
      <c r="J68" s="17">
        <f>K68*(0.6+0.4*5/5)</f>
        <v/>
      </c>
      <c r="K68" s="14" t="n">
        <v>3.96</v>
      </c>
      <c r="L68" s="15">
        <f>IFERROR(1-(EXP(GAMMALN(0+'Read me'!$B$6)-GAMMALN('Read me'!$B$6)-GAMMALN(0+1)+'Read me'!$B$6*LN('Read me'!$B$6/('Read me'!$B$6+K68))+0*LN(K68/('Read me'!$B$6+K68)))+EXP(GAMMALN(1+'Read me'!$B$6)-GAMMALN('Read me'!$B$6)-GAMMALN(1+1)+'Read me'!$B$6*LN('Read me'!$B$6/('Read me'!$B$6+K68))+1*LN(K68/('Read me'!$B$6+K68)))+EXP(GAMMALN(2+'Read me'!$B$6)-GAMMALN('Read me'!$B$6)-GAMMALN(2+1)+'Read me'!$B$6*LN('Read me'!$B$6/('Read me'!$B$6+K68))+2*LN(K68/('Read me'!$B$6+K68)))),"")</f>
        <v/>
      </c>
      <c r="M68" s="16" t="n">
        <v>0</v>
      </c>
      <c r="N68" s="17">
        <f>IFERROR(1/L68,"")</f>
        <v/>
      </c>
      <c r="O68" s="18" t="n"/>
      <c r="P68" s="19">
        <f>IF(O68="","",O68*L68-1)</f>
        <v/>
      </c>
      <c r="Q68" s="20">
        <f>IF(P68="","awaiting price",IF(P68&gt;='Read me'!$B$7,"BET",IF(P68&gt;=0,"thin","no bet")))</f>
        <v/>
      </c>
    </row>
    <row r="69">
      <c r="A69" s="11" t="n">
        <v>46298</v>
      </c>
      <c r="B69" s="12" t="inlineStr">
        <is>
          <t>Argentina Liga Profesional</t>
        </is>
      </c>
      <c r="C69" s="12" t="inlineStr">
        <is>
          <t>Independ. Rivadavia v Gimnasia L.P.</t>
        </is>
      </c>
      <c r="D69" s="12" t="inlineStr">
        <is>
          <t>Independ. Rivadavia</t>
        </is>
      </c>
      <c r="E69" s="12" t="inlineStr">
        <is>
          <t>Home</t>
        </is>
      </c>
      <c r="F69" s="12" t="inlineStr">
        <is>
          <t>5+ team corners</t>
        </is>
      </c>
      <c r="G69" s="14" t="n">
        <v>4.5</v>
      </c>
      <c r="H69" s="14" t="n">
        <v>6.67</v>
      </c>
      <c r="I69" s="12" t="inlineStr">
        <is>
          <t>1/5</t>
        </is>
      </c>
      <c r="J69" s="17">
        <f>K69*(0.6+0.4*1/5)</f>
        <v/>
      </c>
      <c r="K69" s="14" t="n">
        <v>5.81</v>
      </c>
      <c r="L69" s="15">
        <f>IFERROR(1-(EXP(GAMMALN(0+'Read me'!$B$6)-GAMMALN('Read me'!$B$6)-GAMMALN(0+1)+'Read me'!$B$6*LN('Read me'!$B$6/('Read me'!$B$6+K69))+0*LN(K69/('Read me'!$B$6+K69)))+EXP(GAMMALN(1+'Read me'!$B$6)-GAMMALN('Read me'!$B$6)-GAMMALN(1+1)+'Read me'!$B$6*LN('Read me'!$B$6/('Read me'!$B$6+K69))+1*LN(K69/('Read me'!$B$6+K69)))+EXP(GAMMALN(2+'Read me'!$B$6)-GAMMALN('Read me'!$B$6)-GAMMALN(2+1)+'Read me'!$B$6*LN('Read me'!$B$6/('Read me'!$B$6+K69))+2*LN(K69/('Read me'!$B$6+K69)))+EXP(GAMMALN(3+'Read me'!$B$6)-GAMMALN('Read me'!$B$6)-GAMMALN(3+1)+'Read me'!$B$6*LN('Read me'!$B$6/('Read me'!$B$6+K69))+3*LN(K69/('Read me'!$B$6+K69)))+EXP(GAMMALN(4+'Read me'!$B$6)-GAMMALN('Read me'!$B$6)-GAMMALN(4+1)+'Read me'!$B$6*LN('Read me'!$B$6/('Read me'!$B$6+K69))+4*LN(K69/('Read me'!$B$6+K69)))),"")</f>
        <v/>
      </c>
      <c r="M69" s="16" t="n">
        <v>0</v>
      </c>
      <c r="N69" s="17">
        <f>IFERROR(1/L69,"")</f>
        <v/>
      </c>
      <c r="O69" s="18" t="n"/>
      <c r="P69" s="19">
        <f>IF(O69="","",O69*L69-1)</f>
        <v/>
      </c>
      <c r="Q69" s="20">
        <f>IF(P69="","awaiting price",IF(P69&gt;='Read me'!$B$7,"BET",IF(P69&gt;=0,"thin","no bet")))</f>
        <v/>
      </c>
    </row>
    <row r="70">
      <c r="A70" s="11" t="n">
        <v>46297</v>
      </c>
      <c r="B70" s="12" t="inlineStr">
        <is>
          <t>Brazil Série B</t>
        </is>
      </c>
      <c r="C70" s="12" t="inlineStr">
        <is>
          <t>Novorizontino v Goias</t>
        </is>
      </c>
      <c r="D70" s="12" t="inlineStr">
        <is>
          <t>Goias</t>
        </is>
      </c>
      <c r="E70" s="12" t="inlineStr">
        <is>
          <t>Away</t>
        </is>
      </c>
      <c r="F70" s="12" t="inlineStr">
        <is>
          <t>3+ team corners</t>
        </is>
      </c>
      <c r="G70" s="14" t="n">
        <v>3.8</v>
      </c>
      <c r="H70" s="14" t="n">
        <v>4.2</v>
      </c>
      <c r="I70" s="12" t="inlineStr">
        <is>
          <t>5/5</t>
        </is>
      </c>
      <c r="J70" s="17">
        <f>K70*(0.6+0.4*5/5)</f>
        <v/>
      </c>
      <c r="K70" s="14" t="n">
        <v>3.95</v>
      </c>
      <c r="L70" s="15">
        <f>IFERROR(1-(EXP(GAMMALN(0+'Read me'!$B$6)-GAMMALN('Read me'!$B$6)-GAMMALN(0+1)+'Read me'!$B$6*LN('Read me'!$B$6/('Read me'!$B$6+K70))+0*LN(K70/('Read me'!$B$6+K70)))+EXP(GAMMALN(1+'Read me'!$B$6)-GAMMALN('Read me'!$B$6)-GAMMALN(1+1)+'Read me'!$B$6*LN('Read me'!$B$6/('Read me'!$B$6+K70))+1*LN(K70/('Read me'!$B$6+K70)))+EXP(GAMMALN(2+'Read me'!$B$6)-GAMMALN('Read me'!$B$6)-GAMMALN(2+1)+'Read me'!$B$6*LN('Read me'!$B$6/('Read me'!$B$6+K70))+2*LN(K70/('Read me'!$B$6+K70)))),"")</f>
        <v/>
      </c>
      <c r="M70" s="16" t="n">
        <v>0</v>
      </c>
      <c r="N70" s="17">
        <f>IFERROR(1/L70,"")</f>
        <v/>
      </c>
      <c r="O70" s="18" t="n"/>
      <c r="P70" s="19">
        <f>IF(O70="","",O70*L70-1)</f>
        <v/>
      </c>
      <c r="Q70" s="20">
        <f>IF(P70="","awaiting price",IF(P70&gt;='Read me'!$B$7,"BET",IF(P70&gt;=0,"thin","no bet")))</f>
        <v/>
      </c>
    </row>
    <row r="71">
      <c r="A71" s="11" t="n">
        <v>46302</v>
      </c>
      <c r="B71" s="12" t="inlineStr">
        <is>
          <t>USA MLS</t>
        </is>
      </c>
      <c r="C71" s="12" t="inlineStr">
        <is>
          <t>Chicago Fire v Vancouver Whitecaps</t>
        </is>
      </c>
      <c r="D71" s="12" t="inlineStr">
        <is>
          <t>Vancouver Whitecaps</t>
        </is>
      </c>
      <c r="E71" s="12" t="inlineStr">
        <is>
          <t>Away</t>
        </is>
      </c>
      <c r="F71" s="12" t="inlineStr">
        <is>
          <t>3+ team corners</t>
        </is>
      </c>
      <c r="G71" s="14" t="n">
        <v>4.3</v>
      </c>
      <c r="H71" s="14" t="n">
        <v>3.29</v>
      </c>
      <c r="I71" s="12" t="inlineStr">
        <is>
          <t>5/5</t>
        </is>
      </c>
      <c r="J71" s="17">
        <f>K71*(0.6+0.4*5/5)</f>
        <v/>
      </c>
      <c r="K71" s="14" t="n">
        <v>3.94</v>
      </c>
      <c r="L71" s="15">
        <f>IFERROR(1-(EXP(GAMMALN(0+'Read me'!$B$6)-GAMMALN('Read me'!$B$6)-GAMMALN(0+1)+'Read me'!$B$6*LN('Read me'!$B$6/('Read me'!$B$6+K71))+0*LN(K71/('Read me'!$B$6+K71)))+EXP(GAMMALN(1+'Read me'!$B$6)-GAMMALN('Read me'!$B$6)-GAMMALN(1+1)+'Read me'!$B$6*LN('Read me'!$B$6/('Read me'!$B$6+K71))+1*LN(K71/('Read me'!$B$6+K71)))+EXP(GAMMALN(2+'Read me'!$B$6)-GAMMALN('Read me'!$B$6)-GAMMALN(2+1)+'Read me'!$B$6*LN('Read me'!$B$6/('Read me'!$B$6+K71))+2*LN(K71/('Read me'!$B$6+K71)))),"")</f>
        <v/>
      </c>
      <c r="M71" s="16" t="n">
        <v>0</v>
      </c>
      <c r="N71" s="17">
        <f>IFERROR(1/L71,"")</f>
        <v/>
      </c>
      <c r="O71" s="18" t="n"/>
      <c r="P71" s="19">
        <f>IF(O71="","",O71*L71-1)</f>
        <v/>
      </c>
      <c r="Q71" s="20">
        <f>IF(P71="","awaiting price",IF(P71&gt;='Read me'!$B$7,"BET",IF(P71&gt;=0,"thin","no bet")))</f>
        <v/>
      </c>
    </row>
    <row r="72">
      <c r="A72" s="11" t="n">
        <v>46299</v>
      </c>
      <c r="B72" s="12" t="inlineStr">
        <is>
          <t>Argentina Liga Profesional</t>
        </is>
      </c>
      <c r="C72" s="12" t="inlineStr">
        <is>
          <t>Sarmiento Junin v River Plate</t>
        </is>
      </c>
      <c r="D72" s="12" t="inlineStr">
        <is>
          <t>River Plate</t>
        </is>
      </c>
      <c r="E72" s="12" t="inlineStr">
        <is>
          <t>Away</t>
        </is>
      </c>
      <c r="F72" s="12" t="inlineStr">
        <is>
          <t>4+ team corners</t>
        </is>
      </c>
      <c r="G72" s="14" t="n">
        <v>4.67</v>
      </c>
      <c r="H72" s="14" t="n">
        <v>5.62</v>
      </c>
      <c r="I72" s="12" t="inlineStr">
        <is>
          <t>2/5</t>
        </is>
      </c>
      <c r="J72" s="17">
        <f>K72*(0.6+0.4*2/5)</f>
        <v/>
      </c>
      <c r="K72" s="14" t="n">
        <v>5.17</v>
      </c>
      <c r="L72" s="15">
        <f>IFERROR(1-(EXP(GAMMALN(0+'Read me'!$B$6)-GAMMALN('Read me'!$B$6)-GAMMALN(0+1)+'Read me'!$B$6*LN('Read me'!$B$6/('Read me'!$B$6+K72))+0*LN(K72/('Read me'!$B$6+K72)))+EXP(GAMMALN(1+'Read me'!$B$6)-GAMMALN('Read me'!$B$6)-GAMMALN(1+1)+'Read me'!$B$6*LN('Read me'!$B$6/('Read me'!$B$6+K72))+1*LN(K72/('Read me'!$B$6+K72)))+EXP(GAMMALN(2+'Read me'!$B$6)-GAMMALN('Read me'!$B$6)-GAMMALN(2+1)+'Read me'!$B$6*LN('Read me'!$B$6/('Read me'!$B$6+K72))+2*LN(K72/('Read me'!$B$6+K72)))+EXP(GAMMALN(3+'Read me'!$B$6)-GAMMALN('Read me'!$B$6)-GAMMALN(3+1)+'Read me'!$B$6*LN('Read me'!$B$6/('Read me'!$B$6+K72))+3*LN(K72/('Read me'!$B$6+K72)))),"")</f>
        <v/>
      </c>
      <c r="M72" s="16" t="n">
        <v>0</v>
      </c>
      <c r="N72" s="17">
        <f>IFERROR(1/L72,"")</f>
        <v/>
      </c>
      <c r="O72" s="18" t="n"/>
      <c r="P72" s="19">
        <f>IF(O72="","",O72*L72-1)</f>
        <v/>
      </c>
      <c r="Q72" s="20">
        <f>IF(P72="","awaiting price",IF(P72&gt;='Read me'!$B$7,"BET",IF(P72&gt;=0,"thin","no bet")))</f>
        <v/>
      </c>
    </row>
    <row r="73">
      <c r="A73" s="11" t="n">
        <v>46298</v>
      </c>
      <c r="B73" s="12" t="inlineStr">
        <is>
          <t>Netherlands Eerste Divisie</t>
        </is>
      </c>
      <c r="C73" s="12" t="inlineStr">
        <is>
          <t>Waalwijk v Emmen</t>
        </is>
      </c>
      <c r="D73" s="12" t="inlineStr">
        <is>
          <t>Waalwijk</t>
        </is>
      </c>
      <c r="E73" s="12" t="inlineStr">
        <is>
          <t>Home</t>
        </is>
      </c>
      <c r="F73" s="12" t="inlineStr">
        <is>
          <t>3+ team corners</t>
        </is>
      </c>
      <c r="G73" s="14" t="n">
        <v>3.8</v>
      </c>
      <c r="H73" s="14" t="n">
        <v>4.5</v>
      </c>
      <c r="I73" s="12" t="inlineStr">
        <is>
          <t>4/5</t>
        </is>
      </c>
      <c r="J73" s="17">
        <f>K73*(0.6+0.4*4/5)</f>
        <v/>
      </c>
      <c r="K73" s="14" t="n">
        <v>4.27</v>
      </c>
      <c r="L73" s="15">
        <f>IFERROR(1-(EXP(GAMMALN(0+'Read me'!$B$6)-GAMMALN('Read me'!$B$6)-GAMMALN(0+1)+'Read me'!$B$6*LN('Read me'!$B$6/('Read me'!$B$6+K73))+0*LN(K73/('Read me'!$B$6+K73)))+EXP(GAMMALN(1+'Read me'!$B$6)-GAMMALN('Read me'!$B$6)-GAMMALN(1+1)+'Read me'!$B$6*LN('Read me'!$B$6/('Read me'!$B$6+K73))+1*LN(K73/('Read me'!$B$6+K73)))+EXP(GAMMALN(2+'Read me'!$B$6)-GAMMALN('Read me'!$B$6)-GAMMALN(2+1)+'Read me'!$B$6*LN('Read me'!$B$6/('Read me'!$B$6+K73))+2*LN(K73/('Read me'!$B$6+K73)))),"")</f>
        <v/>
      </c>
      <c r="M73" s="16" t="n">
        <v>0</v>
      </c>
      <c r="N73" s="17">
        <f>IFERROR(1/L73,"")</f>
        <v/>
      </c>
      <c r="O73" s="18" t="n"/>
      <c r="P73" s="19">
        <f>IF(O73="","",O73*L73-1)</f>
        <v/>
      </c>
      <c r="Q73" s="20">
        <f>IF(P73="","awaiting price",IF(P73&gt;='Read me'!$B$7,"BET",IF(P73&gt;=0,"thin","no bet")))</f>
        <v/>
      </c>
    </row>
    <row r="74">
      <c r="A74" s="11" t="n">
        <v>46299</v>
      </c>
      <c r="B74" s="12" t="inlineStr">
        <is>
          <t>Netherlands Eerste Divisie</t>
        </is>
      </c>
      <c r="C74" s="12" t="inlineStr">
        <is>
          <t>VVV Venlo v Roda</t>
        </is>
      </c>
      <c r="D74" s="12" t="inlineStr">
        <is>
          <t>Roda</t>
        </is>
      </c>
      <c r="E74" s="12" t="inlineStr">
        <is>
          <t>Away</t>
        </is>
      </c>
      <c r="F74" s="12" t="inlineStr">
        <is>
          <t>4+ team corners</t>
        </is>
      </c>
      <c r="G74" s="14" t="n">
        <v>4.5</v>
      </c>
      <c r="H74" s="14" t="n">
        <v>4.8</v>
      </c>
      <c r="I74" s="12" t="inlineStr">
        <is>
          <t>3/5</t>
        </is>
      </c>
      <c r="J74" s="17">
        <f>K74*(0.6+0.4*3/5)</f>
        <v/>
      </c>
      <c r="K74" s="14" t="n">
        <v>4.63</v>
      </c>
      <c r="L74" s="15">
        <f>IFERROR(1-(EXP(GAMMALN(0+'Read me'!$B$6)-GAMMALN('Read me'!$B$6)-GAMMALN(0+1)+'Read me'!$B$6*LN('Read me'!$B$6/('Read me'!$B$6+K74))+0*LN(K74/('Read me'!$B$6+K74)))+EXP(GAMMALN(1+'Read me'!$B$6)-GAMMALN('Read me'!$B$6)-GAMMALN(1+1)+'Read me'!$B$6*LN('Read me'!$B$6/('Read me'!$B$6+K74))+1*LN(K74/('Read me'!$B$6+K74)))+EXP(GAMMALN(2+'Read me'!$B$6)-GAMMALN('Read me'!$B$6)-GAMMALN(2+1)+'Read me'!$B$6*LN('Read me'!$B$6/('Read me'!$B$6+K74))+2*LN(K74/('Read me'!$B$6+K74)))+EXP(GAMMALN(3+'Read me'!$B$6)-GAMMALN('Read me'!$B$6)-GAMMALN(3+1)+'Read me'!$B$6*LN('Read me'!$B$6/('Read me'!$B$6+K74))+3*LN(K74/('Read me'!$B$6+K74)))),"")</f>
        <v/>
      </c>
      <c r="M74" s="16" t="n">
        <v>0</v>
      </c>
      <c r="N74" s="17">
        <f>IFERROR(1/L74,"")</f>
        <v/>
      </c>
      <c r="O74" s="18" t="n"/>
      <c r="P74" s="19">
        <f>IF(O74="","",O74*L74-1)</f>
        <v/>
      </c>
      <c r="Q74" s="20">
        <f>IF(P74="","awaiting price",IF(P74&gt;='Read me'!$B$7,"BET",IF(P74&gt;=0,"thin","no bet")))</f>
        <v/>
      </c>
    </row>
    <row r="75">
      <c r="A75" s="11" t="n">
        <v>46297</v>
      </c>
      <c r="B75" s="12" t="inlineStr">
        <is>
          <t>USA MLS</t>
        </is>
      </c>
      <c r="C75" s="12" t="inlineStr">
        <is>
          <t>Seattle Sounders v Sporting Kansas City</t>
        </is>
      </c>
      <c r="D75" s="12" t="inlineStr">
        <is>
          <t>Sporting Kansas City</t>
        </is>
      </c>
      <c r="E75" s="12" t="inlineStr">
        <is>
          <t>Away</t>
        </is>
      </c>
      <c r="F75" s="12" t="inlineStr">
        <is>
          <t>4+ team corners</t>
        </is>
      </c>
      <c r="G75" s="14" t="n">
        <v>4.5</v>
      </c>
      <c r="H75" s="14" t="n">
        <v>5.7</v>
      </c>
      <c r="I75" s="12" t="inlineStr">
        <is>
          <t>2/5</t>
        </is>
      </c>
      <c r="J75" s="17">
        <f>K75*(0.6+0.4*2/5)</f>
        <v/>
      </c>
      <c r="K75" s="14" t="n">
        <v>5.11</v>
      </c>
      <c r="L75" s="15">
        <f>IFERROR(1-(EXP(GAMMALN(0+'Read me'!$B$6)-GAMMALN('Read me'!$B$6)-GAMMALN(0+1)+'Read me'!$B$6*LN('Read me'!$B$6/('Read me'!$B$6+K75))+0*LN(K75/('Read me'!$B$6+K75)))+EXP(GAMMALN(1+'Read me'!$B$6)-GAMMALN('Read me'!$B$6)-GAMMALN(1+1)+'Read me'!$B$6*LN('Read me'!$B$6/('Read me'!$B$6+K75))+1*LN(K75/('Read me'!$B$6+K75)))+EXP(GAMMALN(2+'Read me'!$B$6)-GAMMALN('Read me'!$B$6)-GAMMALN(2+1)+'Read me'!$B$6*LN('Read me'!$B$6/('Read me'!$B$6+K75))+2*LN(K75/('Read me'!$B$6+K75)))+EXP(GAMMALN(3+'Read me'!$B$6)-GAMMALN('Read me'!$B$6)-GAMMALN(3+1)+'Read me'!$B$6*LN('Read me'!$B$6/('Read me'!$B$6+K75))+3*LN(K75/('Read me'!$B$6+K75)))),"")</f>
        <v/>
      </c>
      <c r="M75" s="16" t="n">
        <v>0</v>
      </c>
      <c r="N75" s="17">
        <f>IFERROR(1/L75,"")</f>
        <v/>
      </c>
      <c r="O75" s="18" t="n"/>
      <c r="P75" s="19">
        <f>IF(O75="","",O75*L75-1)</f>
        <v/>
      </c>
      <c r="Q75" s="20">
        <f>IF(P75="","awaiting price",IF(P75&gt;='Read me'!$B$7,"BET",IF(P75&gt;=0,"thin","no bet")))</f>
        <v/>
      </c>
    </row>
    <row r="76">
      <c r="A76" s="11" t="n">
        <v>46298</v>
      </c>
      <c r="B76" s="12" t="inlineStr">
        <is>
          <t>Argentina Liga Profesional</t>
        </is>
      </c>
      <c r="C76" s="12" t="inlineStr">
        <is>
          <t>Atletico Tucuman v Barracas Central</t>
        </is>
      </c>
      <c r="D76" s="12" t="inlineStr">
        <is>
          <t>Atletico Tucuman</t>
        </is>
      </c>
      <c r="E76" s="12" t="inlineStr">
        <is>
          <t>Home</t>
        </is>
      </c>
      <c r="F76" s="12" t="inlineStr">
        <is>
          <t>3+ team corners</t>
        </is>
      </c>
      <c r="G76" s="14" t="n">
        <v>5.14</v>
      </c>
      <c r="H76" s="14" t="n">
        <v>3.62</v>
      </c>
      <c r="I76" s="12" t="inlineStr">
        <is>
          <t>4/5</t>
        </is>
      </c>
      <c r="J76" s="17">
        <f>K76*(0.6+0.4*4/5)</f>
        <v/>
      </c>
      <c r="K76" s="14" t="n">
        <v>4.22</v>
      </c>
      <c r="L76" s="15">
        <f>IFERROR(1-(EXP(GAMMALN(0+'Read me'!$B$6)-GAMMALN('Read me'!$B$6)-GAMMALN(0+1)+'Read me'!$B$6*LN('Read me'!$B$6/('Read me'!$B$6+K76))+0*LN(K76/('Read me'!$B$6+K76)))+EXP(GAMMALN(1+'Read me'!$B$6)-GAMMALN('Read me'!$B$6)-GAMMALN(1+1)+'Read me'!$B$6*LN('Read me'!$B$6/('Read me'!$B$6+K76))+1*LN(K76/('Read me'!$B$6+K76)))+EXP(GAMMALN(2+'Read me'!$B$6)-GAMMALN('Read me'!$B$6)-GAMMALN(2+1)+'Read me'!$B$6*LN('Read me'!$B$6/('Read me'!$B$6+K76))+2*LN(K76/('Read me'!$B$6+K76)))),"")</f>
        <v/>
      </c>
      <c r="M76" s="16" t="n">
        <v>0</v>
      </c>
      <c r="N76" s="17">
        <f>IFERROR(1/L76,"")</f>
        <v/>
      </c>
      <c r="O76" s="18" t="n"/>
      <c r="P76" s="19">
        <f>IF(O76="","",O76*L76-1)</f>
        <v/>
      </c>
      <c r="Q76" s="20">
        <f>IF(P76="","awaiting price",IF(P76&gt;='Read me'!$B$7,"BET",IF(P76&gt;=0,"thin","no bet")))</f>
        <v/>
      </c>
    </row>
    <row r="77">
      <c r="A77" s="11" t="n">
        <v>46298</v>
      </c>
      <c r="B77" s="12" t="inlineStr">
        <is>
          <t>Argentina Liga Profesional</t>
        </is>
      </c>
      <c r="C77" s="12" t="inlineStr">
        <is>
          <t>Independ. Rivadavia v Gimnasia L.P.</t>
        </is>
      </c>
      <c r="D77" s="12" t="inlineStr">
        <is>
          <t>Gimnasia L.P.</t>
        </is>
      </c>
      <c r="E77" s="12" t="inlineStr">
        <is>
          <t>Away</t>
        </is>
      </c>
      <c r="F77" s="12" t="inlineStr">
        <is>
          <t>3+ team corners</t>
        </is>
      </c>
      <c r="G77" s="14" t="n">
        <v>3.67</v>
      </c>
      <c r="H77" s="14" t="n">
        <v>4</v>
      </c>
      <c r="I77" s="12" t="inlineStr">
        <is>
          <t>5/5</t>
        </is>
      </c>
      <c r="J77" s="17">
        <f>K77*(0.6+0.4*5/5)</f>
        <v/>
      </c>
      <c r="K77" s="14" t="n">
        <v>3.79</v>
      </c>
      <c r="L77" s="15">
        <f>IFERROR(1-(EXP(GAMMALN(0+'Read me'!$B$6)-GAMMALN('Read me'!$B$6)-GAMMALN(0+1)+'Read me'!$B$6*LN('Read me'!$B$6/('Read me'!$B$6+K77))+0*LN(K77/('Read me'!$B$6+K77)))+EXP(GAMMALN(1+'Read me'!$B$6)-GAMMALN('Read me'!$B$6)-GAMMALN(1+1)+'Read me'!$B$6*LN('Read me'!$B$6/('Read me'!$B$6+K77))+1*LN(K77/('Read me'!$B$6+K77)))+EXP(GAMMALN(2+'Read me'!$B$6)-GAMMALN('Read me'!$B$6)-GAMMALN(2+1)+'Read me'!$B$6*LN('Read me'!$B$6/('Read me'!$B$6+K77))+2*LN(K77/('Read me'!$B$6+K77)))),"")</f>
        <v/>
      </c>
      <c r="M77" s="16" t="n">
        <v>0</v>
      </c>
      <c r="N77" s="17">
        <f>IFERROR(1/L77,"")</f>
        <v/>
      </c>
      <c r="O77" s="18" t="n"/>
      <c r="P77" s="19">
        <f>IF(O77="","",O77*L77-1)</f>
        <v/>
      </c>
      <c r="Q77" s="20">
        <f>IF(P77="","awaiting price",IF(P77&gt;='Read me'!$B$7,"BET",IF(P77&gt;=0,"thin","no bet")))</f>
        <v/>
      </c>
    </row>
    <row r="78">
      <c r="A78" s="11" t="n">
        <v>46298</v>
      </c>
      <c r="B78" s="12" t="inlineStr">
        <is>
          <t>England League Two</t>
        </is>
      </c>
      <c r="C78" s="12" t="inlineStr">
        <is>
          <t>Salford City v Fleetwood Town</t>
        </is>
      </c>
      <c r="D78" s="12" t="inlineStr">
        <is>
          <t>Fleetwood Town</t>
        </is>
      </c>
      <c r="E78" s="12" t="inlineStr">
        <is>
          <t>Away</t>
        </is>
      </c>
      <c r="F78" s="12" t="inlineStr">
        <is>
          <t>3+ team corners</t>
        </is>
      </c>
      <c r="G78" s="14" t="n">
        <v>4.2</v>
      </c>
      <c r="H78" s="14" t="n">
        <v>3.33</v>
      </c>
      <c r="I78" s="12" t="inlineStr">
        <is>
          <t>5/5</t>
        </is>
      </c>
      <c r="J78" s="17">
        <f>K78*(0.6+0.4*5/5)</f>
        <v/>
      </c>
      <c r="K78" s="14" t="n">
        <v>3.77</v>
      </c>
      <c r="L78" s="15">
        <f>IFERROR(1-(EXP(GAMMALN(0+'Read me'!$B$6)-GAMMALN('Read me'!$B$6)-GAMMALN(0+1)+'Read me'!$B$6*LN('Read me'!$B$6/('Read me'!$B$6+K78))+0*LN(K78/('Read me'!$B$6+K78)))+EXP(GAMMALN(1+'Read me'!$B$6)-GAMMALN('Read me'!$B$6)-GAMMALN(1+1)+'Read me'!$B$6*LN('Read me'!$B$6/('Read me'!$B$6+K78))+1*LN(K78/('Read me'!$B$6+K78)))+EXP(GAMMALN(2+'Read me'!$B$6)-GAMMALN('Read me'!$B$6)-GAMMALN(2+1)+'Read me'!$B$6*LN('Read me'!$B$6/('Read me'!$B$6+K78))+2*LN(K78/('Read me'!$B$6+K78)))),"")</f>
        <v/>
      </c>
      <c r="M78" s="16" t="n">
        <v>0</v>
      </c>
      <c r="N78" s="17">
        <f>IFERROR(1/L78,"")</f>
        <v/>
      </c>
      <c r="O78" s="18" t="n"/>
      <c r="P78" s="19">
        <f>IF(O78="","",O78*L78-1)</f>
        <v/>
      </c>
      <c r="Q78" s="20">
        <f>IF(P78="","awaiting price",IF(P78&gt;='Read me'!$B$7,"BET",IF(P78&gt;=0,"thin","no bet")))</f>
        <v/>
      </c>
    </row>
    <row r="79">
      <c r="A79" s="11" t="n">
        <v>46303</v>
      </c>
      <c r="B79" s="12" t="inlineStr">
        <is>
          <t>Brazil Série A</t>
        </is>
      </c>
      <c r="C79" s="12" t="inlineStr">
        <is>
          <t>Cruzeiro v Sao Paulo</t>
        </is>
      </c>
      <c r="D79" s="12" t="inlineStr">
        <is>
          <t>Cruzeiro</t>
        </is>
      </c>
      <c r="E79" s="12" t="inlineStr">
        <is>
          <t>Home</t>
        </is>
      </c>
      <c r="F79" s="12" t="inlineStr">
        <is>
          <t>5+ team corners</t>
        </is>
      </c>
      <c r="G79" s="14" t="n">
        <v>5.3</v>
      </c>
      <c r="H79" s="14" t="n">
        <v>5.3</v>
      </c>
      <c r="I79" s="12" t="inlineStr">
        <is>
          <t>1/5</t>
        </is>
      </c>
      <c r="J79" s="17">
        <f>K79*(0.6+0.4*1/5)</f>
        <v/>
      </c>
      <c r="K79" s="14" t="n">
        <v>5.5</v>
      </c>
      <c r="L79" s="15">
        <f>IFERROR(1-(EXP(GAMMALN(0+'Read me'!$B$6)-GAMMALN('Read me'!$B$6)-GAMMALN(0+1)+'Read me'!$B$6*LN('Read me'!$B$6/('Read me'!$B$6+K79))+0*LN(K79/('Read me'!$B$6+K79)))+EXP(GAMMALN(1+'Read me'!$B$6)-GAMMALN('Read me'!$B$6)-GAMMALN(1+1)+'Read me'!$B$6*LN('Read me'!$B$6/('Read me'!$B$6+K79))+1*LN(K79/('Read me'!$B$6+K79)))+EXP(GAMMALN(2+'Read me'!$B$6)-GAMMALN('Read me'!$B$6)-GAMMALN(2+1)+'Read me'!$B$6*LN('Read me'!$B$6/('Read me'!$B$6+K79))+2*LN(K79/('Read me'!$B$6+K79)))+EXP(GAMMALN(3+'Read me'!$B$6)-GAMMALN('Read me'!$B$6)-GAMMALN(3+1)+'Read me'!$B$6*LN('Read me'!$B$6/('Read me'!$B$6+K79))+3*LN(K79/('Read me'!$B$6+K79)))+EXP(GAMMALN(4+'Read me'!$B$6)-GAMMALN('Read me'!$B$6)-GAMMALN(4+1)+'Read me'!$B$6*LN('Read me'!$B$6/('Read me'!$B$6+K79))+4*LN(K79/('Read me'!$B$6+K79)))),"")</f>
        <v/>
      </c>
      <c r="M79" s="16" t="n">
        <v>0</v>
      </c>
      <c r="N79" s="17">
        <f>IFERROR(1/L79,"")</f>
        <v/>
      </c>
      <c r="O79" s="18" t="n"/>
      <c r="P79" s="19">
        <f>IF(O79="","",O79*L79-1)</f>
        <v/>
      </c>
      <c r="Q79" s="20">
        <f>IF(P79="","awaiting price",IF(P79&gt;='Read me'!$B$7,"BET",IF(P79&gt;=0,"thin","no bet")))</f>
        <v/>
      </c>
    </row>
    <row r="80">
      <c r="A80" s="11" t="n">
        <v>46302</v>
      </c>
      <c r="B80" s="12" t="inlineStr">
        <is>
          <t>Brazil Série B</t>
        </is>
      </c>
      <c r="C80" s="12" t="inlineStr">
        <is>
          <t>America Mineiro v Fortaleza EC</t>
        </is>
      </c>
      <c r="D80" s="12" t="inlineStr">
        <is>
          <t>Fortaleza EC</t>
        </is>
      </c>
      <c r="E80" s="12" t="inlineStr">
        <is>
          <t>Away</t>
        </is>
      </c>
      <c r="F80" s="12" t="inlineStr">
        <is>
          <t>4+ team corners</t>
        </is>
      </c>
      <c r="G80" s="14" t="n">
        <v>4.2</v>
      </c>
      <c r="H80" s="14" t="n">
        <v>5.8</v>
      </c>
      <c r="I80" s="12" t="inlineStr">
        <is>
          <t>2/5</t>
        </is>
      </c>
      <c r="J80" s="17">
        <f>K80*(0.6+0.4*2/5)</f>
        <v/>
      </c>
      <c r="K80" s="14" t="n">
        <v>4.91</v>
      </c>
      <c r="L80" s="15">
        <f>IFERROR(1-(EXP(GAMMALN(0+'Read me'!$B$6)-GAMMALN('Read me'!$B$6)-GAMMALN(0+1)+'Read me'!$B$6*LN('Read me'!$B$6/('Read me'!$B$6+K80))+0*LN(K80/('Read me'!$B$6+K80)))+EXP(GAMMALN(1+'Read me'!$B$6)-GAMMALN('Read me'!$B$6)-GAMMALN(1+1)+'Read me'!$B$6*LN('Read me'!$B$6/('Read me'!$B$6+K80))+1*LN(K80/('Read me'!$B$6+K80)))+EXP(GAMMALN(2+'Read me'!$B$6)-GAMMALN('Read me'!$B$6)-GAMMALN(2+1)+'Read me'!$B$6*LN('Read me'!$B$6/('Read me'!$B$6+K80))+2*LN(K80/('Read me'!$B$6+K80)))+EXP(GAMMALN(3+'Read me'!$B$6)-GAMMALN('Read me'!$B$6)-GAMMALN(3+1)+'Read me'!$B$6*LN('Read me'!$B$6/('Read me'!$B$6+K80))+3*LN(K80/('Read me'!$B$6+K80)))),"")</f>
        <v/>
      </c>
      <c r="M80" s="16" t="n">
        <v>0</v>
      </c>
      <c r="N80" s="17">
        <f>IFERROR(1/L80,"")</f>
        <v/>
      </c>
      <c r="O80" s="18" t="n"/>
      <c r="P80" s="19">
        <f>IF(O80="","",O80*L80-1)</f>
        <v/>
      </c>
      <c r="Q80" s="20">
        <f>IF(P80="","awaiting price",IF(P80&gt;='Read me'!$B$7,"BET",IF(P80&gt;=0,"thin","no bet")))</f>
        <v/>
      </c>
    </row>
    <row r="81">
      <c r="A81" s="11" t="n">
        <v>46298</v>
      </c>
      <c r="B81" s="12" t="inlineStr">
        <is>
          <t>Brazil Série B</t>
        </is>
      </c>
      <c r="C81" s="12" t="inlineStr">
        <is>
          <t>Avai v Ceara</t>
        </is>
      </c>
      <c r="D81" s="12" t="inlineStr">
        <is>
          <t>Avai</t>
        </is>
      </c>
      <c r="E81" s="12" t="inlineStr">
        <is>
          <t>Home</t>
        </is>
      </c>
      <c r="F81" s="12" t="inlineStr">
        <is>
          <t>4+ team corners</t>
        </is>
      </c>
      <c r="G81" s="14" t="n">
        <v>5.5</v>
      </c>
      <c r="H81" s="14" t="n">
        <v>5.1</v>
      </c>
      <c r="I81" s="12" t="inlineStr">
        <is>
          <t>1/5</t>
        </is>
      </c>
      <c r="J81" s="17">
        <f>K81*(0.6+0.4*1/5)</f>
        <v/>
      </c>
      <c r="K81" s="14" t="n">
        <v>5.36</v>
      </c>
      <c r="L81" s="15">
        <f>IFERROR(1-(EXP(GAMMALN(0+'Read me'!$B$6)-GAMMALN('Read me'!$B$6)-GAMMALN(0+1)+'Read me'!$B$6*LN('Read me'!$B$6/('Read me'!$B$6+K81))+0*LN(K81/('Read me'!$B$6+K81)))+EXP(GAMMALN(1+'Read me'!$B$6)-GAMMALN('Read me'!$B$6)-GAMMALN(1+1)+'Read me'!$B$6*LN('Read me'!$B$6/('Read me'!$B$6+K81))+1*LN(K81/('Read me'!$B$6+K81)))+EXP(GAMMALN(2+'Read me'!$B$6)-GAMMALN('Read me'!$B$6)-GAMMALN(2+1)+'Read me'!$B$6*LN('Read me'!$B$6/('Read me'!$B$6+K81))+2*LN(K81/('Read me'!$B$6+K81)))+EXP(GAMMALN(3+'Read me'!$B$6)-GAMMALN('Read me'!$B$6)-GAMMALN(3+1)+'Read me'!$B$6*LN('Read me'!$B$6/('Read me'!$B$6+K81))+3*LN(K81/('Read me'!$B$6+K81)))),"")</f>
        <v/>
      </c>
      <c r="M81" s="16" t="n">
        <v>0</v>
      </c>
      <c r="N81" s="17">
        <f>IFERROR(1/L81,"")</f>
        <v/>
      </c>
      <c r="O81" s="18" t="n"/>
      <c r="P81" s="19">
        <f>IF(O81="","",O81*L81-1)</f>
        <v/>
      </c>
      <c r="Q81" s="20">
        <f>IF(P81="","awaiting price",IF(P81&gt;='Read me'!$B$7,"BET",IF(P81&gt;=0,"thin","no bet")))</f>
        <v/>
      </c>
    </row>
    <row r="82">
      <c r="A82" s="11" t="n">
        <v>46301</v>
      </c>
      <c r="B82" s="12" t="inlineStr">
        <is>
          <t>Argentina Liga Profesional</t>
        </is>
      </c>
      <c r="C82" s="12" t="inlineStr">
        <is>
          <t>Banfield v Rosario Central</t>
        </is>
      </c>
      <c r="D82" s="12" t="inlineStr">
        <is>
          <t>Rosario Central</t>
        </is>
      </c>
      <c r="E82" s="12" t="inlineStr">
        <is>
          <t>Away</t>
        </is>
      </c>
      <c r="F82" s="12" t="inlineStr">
        <is>
          <t>3+ team corners</t>
        </is>
      </c>
      <c r="G82" s="14" t="n">
        <v>4.11</v>
      </c>
      <c r="H82" s="14" t="n">
        <v>3.2</v>
      </c>
      <c r="I82" s="12" t="inlineStr">
        <is>
          <t>5/5</t>
        </is>
      </c>
      <c r="J82" s="17">
        <f>K82*(0.6+0.4*5/5)</f>
        <v/>
      </c>
      <c r="K82" s="14" t="n">
        <v>3.64</v>
      </c>
      <c r="L82" s="15">
        <f>IFERROR(1-(EXP(GAMMALN(0+'Read me'!$B$6)-GAMMALN('Read me'!$B$6)-GAMMALN(0+1)+'Read me'!$B$6*LN('Read me'!$B$6/('Read me'!$B$6+K82))+0*LN(K82/('Read me'!$B$6+K82)))+EXP(GAMMALN(1+'Read me'!$B$6)-GAMMALN('Read me'!$B$6)-GAMMALN(1+1)+'Read me'!$B$6*LN('Read me'!$B$6/('Read me'!$B$6+K82))+1*LN(K82/('Read me'!$B$6+K82)))+EXP(GAMMALN(2+'Read me'!$B$6)-GAMMALN('Read me'!$B$6)-GAMMALN(2+1)+'Read me'!$B$6*LN('Read me'!$B$6/('Read me'!$B$6+K82))+2*LN(K82/('Read me'!$B$6+K82)))),"")</f>
        <v/>
      </c>
      <c r="M82" s="16" t="n">
        <v>0</v>
      </c>
      <c r="N82" s="17">
        <f>IFERROR(1/L82,"")</f>
        <v/>
      </c>
      <c r="O82" s="18" t="n"/>
      <c r="P82" s="19">
        <f>IF(O82="","",O82*L82-1)</f>
        <v/>
      </c>
      <c r="Q82" s="20">
        <f>IF(P82="","awaiting price",IF(P82&gt;='Read me'!$B$7,"BET",IF(P82&gt;=0,"thin","no bet")))</f>
        <v/>
      </c>
    </row>
    <row r="83">
      <c r="A83" s="11" t="n">
        <v>46299</v>
      </c>
      <c r="B83" s="12" t="inlineStr">
        <is>
          <t>Argentina Liga Profesional</t>
        </is>
      </c>
      <c r="C83" s="12" t="inlineStr">
        <is>
          <t>Huracan v Aldosivi</t>
        </is>
      </c>
      <c r="D83" s="12" t="inlineStr">
        <is>
          <t>Aldosivi</t>
        </is>
      </c>
      <c r="E83" s="12" t="inlineStr">
        <is>
          <t>Away</t>
        </is>
      </c>
      <c r="F83" s="12" t="inlineStr">
        <is>
          <t>3+ team corners</t>
        </is>
      </c>
      <c r="G83" s="14" t="n">
        <v>4</v>
      </c>
      <c r="H83" s="14" t="n">
        <v>4</v>
      </c>
      <c r="I83" s="12" t="inlineStr">
        <is>
          <t>4/5</t>
        </is>
      </c>
      <c r="J83" s="17">
        <f>K83*(0.6+0.4*4/5)</f>
        <v/>
      </c>
      <c r="K83" s="14" t="n">
        <v>3.94</v>
      </c>
      <c r="L83" s="15">
        <f>IFERROR(1-(EXP(GAMMALN(0+'Read me'!$B$6)-GAMMALN('Read me'!$B$6)-GAMMALN(0+1)+'Read me'!$B$6*LN('Read me'!$B$6/('Read me'!$B$6+K83))+0*LN(K83/('Read me'!$B$6+K83)))+EXP(GAMMALN(1+'Read me'!$B$6)-GAMMALN('Read me'!$B$6)-GAMMALN(1+1)+'Read me'!$B$6*LN('Read me'!$B$6/('Read me'!$B$6+K83))+1*LN(K83/('Read me'!$B$6+K83)))+EXP(GAMMALN(2+'Read me'!$B$6)-GAMMALN('Read me'!$B$6)-GAMMALN(2+1)+'Read me'!$B$6*LN('Read me'!$B$6/('Read me'!$B$6+K83))+2*LN(K83/('Read me'!$B$6+K83)))),"")</f>
        <v/>
      </c>
      <c r="M83" s="16" t="n">
        <v>0</v>
      </c>
      <c r="N83" s="17">
        <f>IFERROR(1/L83,"")</f>
        <v/>
      </c>
      <c r="O83" s="18" t="n"/>
      <c r="P83" s="19">
        <f>IF(O83="","",O83*L83-1)</f>
        <v/>
      </c>
      <c r="Q83" s="20">
        <f>IF(P83="","awaiting price",IF(P83&gt;='Read me'!$B$7,"BET",IF(P83&gt;=0,"thin","no bet")))</f>
        <v/>
      </c>
    </row>
    <row r="84">
      <c r="A84" s="11" t="n">
        <v>46302</v>
      </c>
      <c r="B84" s="12" t="inlineStr">
        <is>
          <t>Brazil Série B</t>
        </is>
      </c>
      <c r="C84" s="12" t="inlineStr">
        <is>
          <t>Avai v Londrina</t>
        </is>
      </c>
      <c r="D84" s="12" t="inlineStr">
        <is>
          <t>Avai</t>
        </is>
      </c>
      <c r="E84" s="12" t="inlineStr">
        <is>
          <t>Home</t>
        </is>
      </c>
      <c r="F84" s="12" t="inlineStr">
        <is>
          <t>5+ team corners</t>
        </is>
      </c>
      <c r="G84" s="14" t="n">
        <v>5.5</v>
      </c>
      <c r="H84" s="14" t="n">
        <v>6.44</v>
      </c>
      <c r="I84" s="12" t="inlineStr">
        <is>
          <t>0/5</t>
        </is>
      </c>
      <c r="J84" s="17">
        <f>K84*(0.6+0.4*0/5)</f>
        <v/>
      </c>
      <c r="K84" s="14" t="n">
        <v>6.03</v>
      </c>
      <c r="L84" s="15">
        <f>IFERROR(1-(EXP(GAMMALN(0+'Read me'!$B$6)-GAMMALN('Read me'!$B$6)-GAMMALN(0+1)+'Read me'!$B$6*LN('Read me'!$B$6/('Read me'!$B$6+K84))+0*LN(K84/('Read me'!$B$6+K84)))+EXP(GAMMALN(1+'Read me'!$B$6)-GAMMALN('Read me'!$B$6)-GAMMALN(1+1)+'Read me'!$B$6*LN('Read me'!$B$6/('Read me'!$B$6+K84))+1*LN(K84/('Read me'!$B$6+K84)))+EXP(GAMMALN(2+'Read me'!$B$6)-GAMMALN('Read me'!$B$6)-GAMMALN(2+1)+'Read me'!$B$6*LN('Read me'!$B$6/('Read me'!$B$6+K84))+2*LN(K84/('Read me'!$B$6+K84)))+EXP(GAMMALN(3+'Read me'!$B$6)-GAMMALN('Read me'!$B$6)-GAMMALN(3+1)+'Read me'!$B$6*LN('Read me'!$B$6/('Read me'!$B$6+K84))+3*LN(K84/('Read me'!$B$6+K84)))+EXP(GAMMALN(4+'Read me'!$B$6)-GAMMALN('Read me'!$B$6)-GAMMALN(4+1)+'Read me'!$B$6*LN('Read me'!$B$6/('Read me'!$B$6+K84))+4*LN(K84/('Read me'!$B$6+K84)))),"")</f>
        <v/>
      </c>
      <c r="M84" s="16" t="n">
        <v>0</v>
      </c>
      <c r="N84" s="17">
        <f>IFERROR(1/L84,"")</f>
        <v/>
      </c>
      <c r="O84" s="18" t="n"/>
      <c r="P84" s="19">
        <f>IF(O84="","",O84*L84-1)</f>
        <v/>
      </c>
      <c r="Q84" s="20">
        <f>IF(P84="","awaiting price",IF(P84&gt;='Read me'!$B$7,"BET",IF(P84&gt;=0,"thin","no bet")))</f>
        <v/>
      </c>
    </row>
    <row r="85">
      <c r="A85" s="11" t="n">
        <v>46300</v>
      </c>
      <c r="B85" s="12" t="inlineStr">
        <is>
          <t>Argentina Liga Profesional</t>
        </is>
      </c>
      <c r="C85" s="12" t="inlineStr">
        <is>
          <t>Velez Sarsfield v Platense</t>
        </is>
      </c>
      <c r="D85" s="12" t="inlineStr">
        <is>
          <t>Platense</t>
        </is>
      </c>
      <c r="E85" s="12" t="inlineStr">
        <is>
          <t>Away</t>
        </is>
      </c>
      <c r="F85" s="12" t="inlineStr">
        <is>
          <t>3+ team corners</t>
        </is>
      </c>
      <c r="G85" s="14" t="n">
        <v>3.75</v>
      </c>
      <c r="H85" s="14" t="n">
        <v>4.1</v>
      </c>
      <c r="I85" s="12" t="inlineStr">
        <is>
          <t>4/5</t>
        </is>
      </c>
      <c r="J85" s="17">
        <f>K85*(0.6+0.4*4/5)</f>
        <v/>
      </c>
      <c r="K85" s="14" t="n">
        <v>3.9</v>
      </c>
      <c r="L85" s="15">
        <f>IFERROR(1-(EXP(GAMMALN(0+'Read me'!$B$6)-GAMMALN('Read me'!$B$6)-GAMMALN(0+1)+'Read me'!$B$6*LN('Read me'!$B$6/('Read me'!$B$6+K85))+0*LN(K85/('Read me'!$B$6+K85)))+EXP(GAMMALN(1+'Read me'!$B$6)-GAMMALN('Read me'!$B$6)-GAMMALN(1+1)+'Read me'!$B$6*LN('Read me'!$B$6/('Read me'!$B$6+K85))+1*LN(K85/('Read me'!$B$6+K85)))+EXP(GAMMALN(2+'Read me'!$B$6)-GAMMALN('Read me'!$B$6)-GAMMALN(2+1)+'Read me'!$B$6*LN('Read me'!$B$6/('Read me'!$B$6+K85))+2*LN(K85/('Read me'!$B$6+K85)))),"")</f>
        <v/>
      </c>
      <c r="M85" s="16" t="n">
        <v>0</v>
      </c>
      <c r="N85" s="17">
        <f>IFERROR(1/L85,"")</f>
        <v/>
      </c>
      <c r="O85" s="18" t="n"/>
      <c r="P85" s="19">
        <f>IF(O85="","",O85*L85-1)</f>
        <v/>
      </c>
      <c r="Q85" s="20">
        <f>IF(P85="","awaiting price",IF(P85&gt;='Read me'!$B$7,"BET",IF(P85&gt;=0,"thin","no bet")))</f>
        <v/>
      </c>
    </row>
    <row r="86">
      <c r="A86" s="11" t="n">
        <v>46300</v>
      </c>
      <c r="B86" s="12" t="inlineStr">
        <is>
          <t>Argentina Liga Profesional</t>
        </is>
      </c>
      <c r="C86" s="12" t="inlineStr">
        <is>
          <t>Estudiantes de Rio Cuarto v Racing Club</t>
        </is>
      </c>
      <c r="D86" s="12" t="inlineStr">
        <is>
          <t>Racing Club</t>
        </is>
      </c>
      <c r="E86" s="12" t="inlineStr">
        <is>
          <t>Away</t>
        </is>
      </c>
      <c r="F86" s="12" t="inlineStr">
        <is>
          <t>3+ team corners</t>
        </is>
      </c>
      <c r="G86" s="14" t="n">
        <v>3.5</v>
      </c>
      <c r="H86" s="14" t="n">
        <v>4.33</v>
      </c>
      <c r="I86" s="12" t="inlineStr">
        <is>
          <t>4/5</t>
        </is>
      </c>
      <c r="J86" s="17">
        <f>K86*(0.6+0.4*4/5)</f>
        <v/>
      </c>
      <c r="K86" s="14" t="n">
        <v>3.88</v>
      </c>
      <c r="L86" s="15">
        <f>IFERROR(1-(EXP(GAMMALN(0+'Read me'!$B$6)-GAMMALN('Read me'!$B$6)-GAMMALN(0+1)+'Read me'!$B$6*LN('Read me'!$B$6/('Read me'!$B$6+K86))+0*LN(K86/('Read me'!$B$6+K86)))+EXP(GAMMALN(1+'Read me'!$B$6)-GAMMALN('Read me'!$B$6)-GAMMALN(1+1)+'Read me'!$B$6*LN('Read me'!$B$6/('Read me'!$B$6+K86))+1*LN(K86/('Read me'!$B$6+K86)))+EXP(GAMMALN(2+'Read me'!$B$6)-GAMMALN('Read me'!$B$6)-GAMMALN(2+1)+'Read me'!$B$6*LN('Read me'!$B$6/('Read me'!$B$6+K86))+2*LN(K86/('Read me'!$B$6+K86)))),"")</f>
        <v/>
      </c>
      <c r="M86" s="16" t="n">
        <v>0</v>
      </c>
      <c r="N86" s="17">
        <f>IFERROR(1/L86,"")</f>
        <v/>
      </c>
      <c r="O86" s="18" t="n"/>
      <c r="P86" s="19">
        <f>IF(O86="","",O86*L86-1)</f>
        <v/>
      </c>
      <c r="Q86" s="20">
        <f>IF(P86="","awaiting price",IF(P86&gt;='Read me'!$B$7,"BET",IF(P86&gt;=0,"thin","no bet")))</f>
        <v/>
      </c>
    </row>
    <row r="87">
      <c r="A87" s="11" t="n">
        <v>46298</v>
      </c>
      <c r="B87" s="12" t="inlineStr">
        <is>
          <t>England League One</t>
        </is>
      </c>
      <c r="C87" s="12" t="inlineStr">
        <is>
          <t>Wigan v Mansfield Town</t>
        </is>
      </c>
      <c r="D87" s="12" t="inlineStr">
        <is>
          <t>Mansfield Town</t>
        </is>
      </c>
      <c r="E87" s="12" t="inlineStr">
        <is>
          <t>Away</t>
        </is>
      </c>
      <c r="F87" s="12" t="inlineStr">
        <is>
          <t>3+ team corners</t>
        </is>
      </c>
      <c r="G87" s="14" t="n">
        <v>4.64</v>
      </c>
      <c r="H87" s="14" t="n">
        <v>4</v>
      </c>
      <c r="I87" s="12" t="inlineStr">
        <is>
          <t>3/5</t>
        </is>
      </c>
      <c r="J87" s="17">
        <f>K87*(0.6+0.4*3/5)</f>
        <v/>
      </c>
      <c r="K87" s="14" t="n">
        <v>4.24</v>
      </c>
      <c r="L87" s="15">
        <f>IFERROR(1-(EXP(GAMMALN(0+'Read me'!$B$6)-GAMMALN('Read me'!$B$6)-GAMMALN(0+1)+'Read me'!$B$6*LN('Read me'!$B$6/('Read me'!$B$6+K87))+0*LN(K87/('Read me'!$B$6+K87)))+EXP(GAMMALN(1+'Read me'!$B$6)-GAMMALN('Read me'!$B$6)-GAMMALN(1+1)+'Read me'!$B$6*LN('Read me'!$B$6/('Read me'!$B$6+K87))+1*LN(K87/('Read me'!$B$6+K87)))+EXP(GAMMALN(2+'Read me'!$B$6)-GAMMALN('Read me'!$B$6)-GAMMALN(2+1)+'Read me'!$B$6*LN('Read me'!$B$6/('Read me'!$B$6+K87))+2*LN(K87/('Read me'!$B$6+K87)))),"")</f>
        <v/>
      </c>
      <c r="M87" s="16" t="n">
        <v>0</v>
      </c>
      <c r="N87" s="17">
        <f>IFERROR(1/L87,"")</f>
        <v/>
      </c>
      <c r="O87" s="18" t="n"/>
      <c r="P87" s="19">
        <f>IF(O87="","",O87*L87-1)</f>
        <v/>
      </c>
      <c r="Q87" s="20">
        <f>IF(P87="","awaiting price",IF(P87&gt;='Read me'!$B$7,"BET",IF(P87&gt;=0,"thin","no bet")))</f>
        <v/>
      </c>
    </row>
    <row r="88">
      <c r="A88" s="11" t="n">
        <v>46298</v>
      </c>
      <c r="B88" s="12" t="inlineStr">
        <is>
          <t>Argentina Liga Profesional</t>
        </is>
      </c>
      <c r="C88" s="12" t="inlineStr">
        <is>
          <t>Argentinos JRS v Tigre</t>
        </is>
      </c>
      <c r="D88" s="12" t="inlineStr">
        <is>
          <t>Tigre</t>
        </is>
      </c>
      <c r="E88" s="12" t="inlineStr">
        <is>
          <t>Away</t>
        </is>
      </c>
      <c r="F88" s="12" t="inlineStr">
        <is>
          <t>3+ team corners</t>
        </is>
      </c>
      <c r="G88" s="14" t="n">
        <v>5.25</v>
      </c>
      <c r="H88" s="14" t="n">
        <v>2.44</v>
      </c>
      <c r="I88" s="12" t="inlineStr">
        <is>
          <t>4/5</t>
        </is>
      </c>
      <c r="J88" s="17">
        <f>K88*(0.6+0.4*4/5)</f>
        <v/>
      </c>
      <c r="K88" s="14" t="n">
        <v>3.86</v>
      </c>
      <c r="L88" s="15">
        <f>IFERROR(1-(EXP(GAMMALN(0+'Read me'!$B$6)-GAMMALN('Read me'!$B$6)-GAMMALN(0+1)+'Read me'!$B$6*LN('Read me'!$B$6/('Read me'!$B$6+K88))+0*LN(K88/('Read me'!$B$6+K88)))+EXP(GAMMALN(1+'Read me'!$B$6)-GAMMALN('Read me'!$B$6)-GAMMALN(1+1)+'Read me'!$B$6*LN('Read me'!$B$6/('Read me'!$B$6+K88))+1*LN(K88/('Read me'!$B$6+K88)))+EXP(GAMMALN(2+'Read me'!$B$6)-GAMMALN('Read me'!$B$6)-GAMMALN(2+1)+'Read me'!$B$6*LN('Read me'!$B$6/('Read me'!$B$6+K88))+2*LN(K88/('Read me'!$B$6+K88)))),"")</f>
        <v/>
      </c>
      <c r="M88" s="16" t="n">
        <v>0</v>
      </c>
      <c r="N88" s="17">
        <f>IFERROR(1/L88,"")</f>
        <v/>
      </c>
      <c r="O88" s="18" t="n"/>
      <c r="P88" s="19">
        <f>IF(O88="","",O88*L88-1)</f>
        <v/>
      </c>
      <c r="Q88" s="20">
        <f>IF(P88="","awaiting price",IF(P88&gt;='Read me'!$B$7,"BET",IF(P88&gt;=0,"thin","no bet")))</f>
        <v/>
      </c>
    </row>
    <row r="89">
      <c r="A89" s="11" t="n">
        <v>46298</v>
      </c>
      <c r="B89" s="12" t="inlineStr">
        <is>
          <t>Netherlands Eerste Divisie</t>
        </is>
      </c>
      <c r="C89" s="12" t="inlineStr">
        <is>
          <t>FC Eindhoven v De Graafschap</t>
        </is>
      </c>
      <c r="D89" s="12" t="inlineStr">
        <is>
          <t>FC Eindhoven</t>
        </is>
      </c>
      <c r="E89" s="12" t="inlineStr">
        <is>
          <t>Home</t>
        </is>
      </c>
      <c r="F89" s="12" t="inlineStr">
        <is>
          <t>4+ team corners</t>
        </is>
      </c>
      <c r="G89" s="14" t="n">
        <v>3.8</v>
      </c>
      <c r="H89" s="14" t="n">
        <v>6.4</v>
      </c>
      <c r="I89" s="12" t="inlineStr">
        <is>
          <t>1/5</t>
        </is>
      </c>
      <c r="J89" s="17">
        <f>K89*(0.6+0.4*1/5)</f>
        <v/>
      </c>
      <c r="K89" s="14" t="n">
        <v>5.21</v>
      </c>
      <c r="L89" s="15">
        <f>IFERROR(1-(EXP(GAMMALN(0+'Read me'!$B$6)-GAMMALN('Read me'!$B$6)-GAMMALN(0+1)+'Read me'!$B$6*LN('Read me'!$B$6/('Read me'!$B$6+K89))+0*LN(K89/('Read me'!$B$6+K89)))+EXP(GAMMALN(1+'Read me'!$B$6)-GAMMALN('Read me'!$B$6)-GAMMALN(1+1)+'Read me'!$B$6*LN('Read me'!$B$6/('Read me'!$B$6+K89))+1*LN(K89/('Read me'!$B$6+K89)))+EXP(GAMMALN(2+'Read me'!$B$6)-GAMMALN('Read me'!$B$6)-GAMMALN(2+1)+'Read me'!$B$6*LN('Read me'!$B$6/('Read me'!$B$6+K89))+2*LN(K89/('Read me'!$B$6+K89)))+EXP(GAMMALN(3+'Read me'!$B$6)-GAMMALN('Read me'!$B$6)-GAMMALN(3+1)+'Read me'!$B$6*LN('Read me'!$B$6/('Read me'!$B$6+K89))+3*LN(K89/('Read me'!$B$6+K89)))),"")</f>
        <v/>
      </c>
      <c r="M89" s="16" t="n">
        <v>0</v>
      </c>
      <c r="N89" s="17">
        <f>IFERROR(1/L89,"")</f>
        <v/>
      </c>
      <c r="O89" s="18" t="n"/>
      <c r="P89" s="19">
        <f>IF(O89="","",O89*L89-1)</f>
        <v/>
      </c>
      <c r="Q89" s="20">
        <f>IF(P89="","awaiting price",IF(P89&gt;='Read me'!$B$7,"BET",IF(P89&gt;=0,"thin","no bet")))</f>
        <v/>
      </c>
    </row>
    <row r="90">
      <c r="A90" s="11" t="n">
        <v>46298</v>
      </c>
      <c r="B90" s="12" t="inlineStr">
        <is>
          <t>Argentina Liga Profesional</t>
        </is>
      </c>
      <c r="C90" s="12" t="inlineStr">
        <is>
          <t>Boca Juniors v Union Santa Fe</t>
        </is>
      </c>
      <c r="D90" s="12" t="inlineStr">
        <is>
          <t>Union Santa Fe</t>
        </is>
      </c>
      <c r="E90" s="12" t="inlineStr">
        <is>
          <t>Away</t>
        </is>
      </c>
      <c r="F90" s="12" t="inlineStr">
        <is>
          <t>3+ team corners</t>
        </is>
      </c>
      <c r="G90" s="14" t="n">
        <v>4.4</v>
      </c>
      <c r="H90" s="14" t="n">
        <v>4</v>
      </c>
      <c r="I90" s="12" t="inlineStr">
        <is>
          <t>3/5</t>
        </is>
      </c>
      <c r="J90" s="17">
        <f>K90*(0.6+0.4*3/5)</f>
        <v/>
      </c>
      <c r="K90" s="14" t="n">
        <v>4.2</v>
      </c>
      <c r="L90" s="15">
        <f>IFERROR(1-(EXP(GAMMALN(0+'Read me'!$B$6)-GAMMALN('Read me'!$B$6)-GAMMALN(0+1)+'Read me'!$B$6*LN('Read me'!$B$6/('Read me'!$B$6+K90))+0*LN(K90/('Read me'!$B$6+K90)))+EXP(GAMMALN(1+'Read me'!$B$6)-GAMMALN('Read me'!$B$6)-GAMMALN(1+1)+'Read me'!$B$6*LN('Read me'!$B$6/('Read me'!$B$6+K90))+1*LN(K90/('Read me'!$B$6+K90)))+EXP(GAMMALN(2+'Read me'!$B$6)-GAMMALN('Read me'!$B$6)-GAMMALN(2+1)+'Read me'!$B$6*LN('Read me'!$B$6/('Read me'!$B$6+K90))+2*LN(K90/('Read me'!$B$6+K90)))),"")</f>
        <v/>
      </c>
      <c r="M90" s="16" t="n">
        <v>0</v>
      </c>
      <c r="N90" s="17">
        <f>IFERROR(1/L90,"")</f>
        <v/>
      </c>
      <c r="O90" s="18" t="n"/>
      <c r="P90" s="19">
        <f>IF(O90="","",O90*L90-1)</f>
        <v/>
      </c>
      <c r="Q90" s="20">
        <f>IF(P90="","awaiting price",IF(P90&gt;='Read me'!$B$7,"BET",IF(P90&gt;=0,"thin","no bet")))</f>
        <v/>
      </c>
    </row>
    <row r="91">
      <c r="A91" s="11" t="n">
        <v>46299</v>
      </c>
      <c r="B91" s="12" t="inlineStr">
        <is>
          <t>Argentina Liga Profesional</t>
        </is>
      </c>
      <c r="C91" s="12" t="inlineStr">
        <is>
          <t>Sarmiento Junin v River Plate</t>
        </is>
      </c>
      <c r="D91" s="12" t="inlineStr">
        <is>
          <t>Sarmiento Junin</t>
        </is>
      </c>
      <c r="E91" s="12" t="inlineStr">
        <is>
          <t>Home</t>
        </is>
      </c>
      <c r="F91" s="12" t="inlineStr">
        <is>
          <t>3+ team corners</t>
        </is>
      </c>
      <c r="G91" s="14" t="n">
        <v>4.5</v>
      </c>
      <c r="H91" s="14" t="n">
        <v>3.83</v>
      </c>
      <c r="I91" s="12" t="inlineStr">
        <is>
          <t>3/5</t>
        </is>
      </c>
      <c r="J91" s="17">
        <f>K91*(0.6+0.4*3/5)</f>
        <v/>
      </c>
      <c r="K91" s="14" t="n">
        <v>4.18</v>
      </c>
      <c r="L91" s="15">
        <f>IFERROR(1-(EXP(GAMMALN(0+'Read me'!$B$6)-GAMMALN('Read me'!$B$6)-GAMMALN(0+1)+'Read me'!$B$6*LN('Read me'!$B$6/('Read me'!$B$6+K91))+0*LN(K91/('Read me'!$B$6+K91)))+EXP(GAMMALN(1+'Read me'!$B$6)-GAMMALN('Read me'!$B$6)-GAMMALN(1+1)+'Read me'!$B$6*LN('Read me'!$B$6/('Read me'!$B$6+K91))+1*LN(K91/('Read me'!$B$6+K91)))+EXP(GAMMALN(2+'Read me'!$B$6)-GAMMALN('Read me'!$B$6)-GAMMALN(2+1)+'Read me'!$B$6*LN('Read me'!$B$6/('Read me'!$B$6+K91))+2*LN(K91/('Read me'!$B$6+K91)))),"")</f>
        <v/>
      </c>
      <c r="M91" s="16" t="n">
        <v>0</v>
      </c>
      <c r="N91" s="17">
        <f>IFERROR(1/L91,"")</f>
        <v/>
      </c>
      <c r="O91" s="18" t="n"/>
      <c r="P91" s="19">
        <f>IF(O91="","",O91*L91-1)</f>
        <v/>
      </c>
      <c r="Q91" s="20">
        <f>IF(P91="","awaiting price",IF(P91&gt;='Read me'!$B$7,"BET",IF(P91&gt;=0,"thin","no bet")))</f>
        <v/>
      </c>
    </row>
    <row r="92">
      <c r="A92" s="11" t="n">
        <v>46301</v>
      </c>
      <c r="B92" s="12" t="inlineStr">
        <is>
          <t>Argentina Liga Profesional</t>
        </is>
      </c>
      <c r="C92" s="12" t="inlineStr">
        <is>
          <t>Banfield v Rosario Central</t>
        </is>
      </c>
      <c r="D92" s="12" t="inlineStr">
        <is>
          <t>Banfield</t>
        </is>
      </c>
      <c r="E92" s="12" t="inlineStr">
        <is>
          <t>Home</t>
        </is>
      </c>
      <c r="F92" s="12" t="inlineStr">
        <is>
          <t>4+ team corners</t>
        </is>
      </c>
      <c r="G92" s="14" t="n">
        <v>3.8</v>
      </c>
      <c r="H92" s="14" t="n">
        <v>5.22</v>
      </c>
      <c r="I92" s="12" t="inlineStr">
        <is>
          <t>2/5</t>
        </is>
      </c>
      <c r="J92" s="17">
        <f>K92*(0.6+0.4*2/5)</f>
        <v/>
      </c>
      <c r="K92" s="14" t="n">
        <v>4.57</v>
      </c>
      <c r="L92" s="15">
        <f>IFERROR(1-(EXP(GAMMALN(0+'Read me'!$B$6)-GAMMALN('Read me'!$B$6)-GAMMALN(0+1)+'Read me'!$B$6*LN('Read me'!$B$6/('Read me'!$B$6+K92))+0*LN(K92/('Read me'!$B$6+K92)))+EXP(GAMMALN(1+'Read me'!$B$6)-GAMMALN('Read me'!$B$6)-GAMMALN(1+1)+'Read me'!$B$6*LN('Read me'!$B$6/('Read me'!$B$6+K92))+1*LN(K92/('Read me'!$B$6+K92)))+EXP(GAMMALN(2+'Read me'!$B$6)-GAMMALN('Read me'!$B$6)-GAMMALN(2+1)+'Read me'!$B$6*LN('Read me'!$B$6/('Read me'!$B$6+K92))+2*LN(K92/('Read me'!$B$6+K92)))+EXP(GAMMALN(3+'Read me'!$B$6)-GAMMALN('Read me'!$B$6)-GAMMALN(3+1)+'Read me'!$B$6*LN('Read me'!$B$6/('Read me'!$B$6+K92))+3*LN(K92/('Read me'!$B$6+K92)))),"")</f>
        <v/>
      </c>
      <c r="M92" s="16" t="n">
        <v>0</v>
      </c>
      <c r="N92" s="17">
        <f>IFERROR(1/L92,"")</f>
        <v/>
      </c>
      <c r="O92" s="18" t="n"/>
      <c r="P92" s="19">
        <f>IF(O92="","",O92*L92-1)</f>
        <v/>
      </c>
      <c r="Q92" s="20">
        <f>IF(P92="","awaiting price",IF(P92&gt;='Read me'!$B$7,"BET",IF(P92&gt;=0,"thin","no bet")))</f>
        <v/>
      </c>
    </row>
    <row r="93">
      <c r="A93" s="11" t="n">
        <v>46300</v>
      </c>
      <c r="B93" s="12" t="inlineStr">
        <is>
          <t>Argentina Liga Profesional</t>
        </is>
      </c>
      <c r="C93" s="12" t="inlineStr">
        <is>
          <t>Deportivo Riestra v Central Cordoba de Santiago</t>
        </is>
      </c>
      <c r="D93" s="12" t="inlineStr">
        <is>
          <t>Deportivo Riestra</t>
        </is>
      </c>
      <c r="E93" s="12" t="inlineStr">
        <is>
          <t>Home</t>
        </is>
      </c>
      <c r="F93" s="12" t="inlineStr">
        <is>
          <t>3+ team corners</t>
        </is>
      </c>
      <c r="G93" s="14" t="n">
        <v>3.38</v>
      </c>
      <c r="H93" s="14" t="n">
        <v>4.88</v>
      </c>
      <c r="I93" s="12" t="inlineStr">
        <is>
          <t>3/5</t>
        </is>
      </c>
      <c r="J93" s="17">
        <f>K93*(0.6+0.4*3/5)</f>
        <v/>
      </c>
      <c r="K93" s="14" t="n">
        <v>4.1</v>
      </c>
      <c r="L93" s="15">
        <f>IFERROR(1-(EXP(GAMMALN(0+'Read me'!$B$6)-GAMMALN('Read me'!$B$6)-GAMMALN(0+1)+'Read me'!$B$6*LN('Read me'!$B$6/('Read me'!$B$6+K93))+0*LN(K93/('Read me'!$B$6+K93)))+EXP(GAMMALN(1+'Read me'!$B$6)-GAMMALN('Read me'!$B$6)-GAMMALN(1+1)+'Read me'!$B$6*LN('Read me'!$B$6/('Read me'!$B$6+K93))+1*LN(K93/('Read me'!$B$6+K93)))+EXP(GAMMALN(2+'Read me'!$B$6)-GAMMALN('Read me'!$B$6)-GAMMALN(2+1)+'Read me'!$B$6*LN('Read me'!$B$6/('Read me'!$B$6+K93))+2*LN(K93/('Read me'!$B$6+K93)))),"")</f>
        <v/>
      </c>
      <c r="M93" s="16" t="n">
        <v>0</v>
      </c>
      <c r="N93" s="17">
        <f>IFERROR(1/L93,"")</f>
        <v/>
      </c>
      <c r="O93" s="18" t="n"/>
      <c r="P93" s="19">
        <f>IF(O93="","",O93*L93-1)</f>
        <v/>
      </c>
      <c r="Q93" s="20">
        <f>IF(P93="","awaiting price",IF(P93&gt;='Read me'!$B$7,"BET",IF(P93&gt;=0,"thin","no bet")))</f>
        <v/>
      </c>
    </row>
    <row r="94">
      <c r="A94" s="11" t="n">
        <v>46302</v>
      </c>
      <c r="B94" s="12" t="inlineStr">
        <is>
          <t>Brazil Série B</t>
        </is>
      </c>
      <c r="C94" s="12" t="inlineStr">
        <is>
          <t>CRB v Atletico Goianiense</t>
        </is>
      </c>
      <c r="D94" s="12" t="inlineStr">
        <is>
          <t>Atletico Goianiense</t>
        </is>
      </c>
      <c r="E94" s="12" t="inlineStr">
        <is>
          <t>Away</t>
        </is>
      </c>
      <c r="F94" s="12" t="inlineStr">
        <is>
          <t>4+ team corners</t>
        </is>
      </c>
      <c r="G94" s="14" t="n">
        <v>4.8</v>
      </c>
      <c r="H94" s="14" t="n">
        <v>4.2</v>
      </c>
      <c r="I94" s="12" t="inlineStr">
        <is>
          <t>2/5</t>
        </is>
      </c>
      <c r="J94" s="17">
        <f>K94*(0.6+0.4*2/5)</f>
        <v/>
      </c>
      <c r="K94" s="14" t="n">
        <v>4.53</v>
      </c>
      <c r="L94" s="15">
        <f>IFERROR(1-(EXP(GAMMALN(0+'Read me'!$B$6)-GAMMALN('Read me'!$B$6)-GAMMALN(0+1)+'Read me'!$B$6*LN('Read me'!$B$6/('Read me'!$B$6+K94))+0*LN(K94/('Read me'!$B$6+K94)))+EXP(GAMMALN(1+'Read me'!$B$6)-GAMMALN('Read me'!$B$6)-GAMMALN(1+1)+'Read me'!$B$6*LN('Read me'!$B$6/('Read me'!$B$6+K94))+1*LN(K94/('Read me'!$B$6+K94)))+EXP(GAMMALN(2+'Read me'!$B$6)-GAMMALN('Read me'!$B$6)-GAMMALN(2+1)+'Read me'!$B$6*LN('Read me'!$B$6/('Read me'!$B$6+K94))+2*LN(K94/('Read me'!$B$6+K94)))+EXP(GAMMALN(3+'Read me'!$B$6)-GAMMALN('Read me'!$B$6)-GAMMALN(3+1)+'Read me'!$B$6*LN('Read me'!$B$6/('Read me'!$B$6+K94))+3*LN(K94/('Read me'!$B$6+K94)))),"")</f>
        <v/>
      </c>
      <c r="M94" s="16" t="n">
        <v>0</v>
      </c>
      <c r="N94" s="17">
        <f>IFERROR(1/L94,"")</f>
        <v/>
      </c>
      <c r="O94" s="18" t="n"/>
      <c r="P94" s="19">
        <f>IF(O94="","",O94*L94-1)</f>
        <v/>
      </c>
      <c r="Q94" s="20">
        <f>IF(P94="","awaiting price",IF(P94&gt;='Read me'!$B$7,"BET",IF(P94&gt;=0,"thin","no bet")))</f>
        <v/>
      </c>
    </row>
    <row r="95">
      <c r="A95" s="11" t="n">
        <v>46298</v>
      </c>
      <c r="B95" s="12" t="inlineStr">
        <is>
          <t>England League Two</t>
        </is>
      </c>
      <c r="C95" s="12" t="inlineStr">
        <is>
          <t>Accrington ST v Cheltenham</t>
        </is>
      </c>
      <c r="D95" s="12" t="inlineStr">
        <is>
          <t>Accrington ST</t>
        </is>
      </c>
      <c r="E95" s="12" t="inlineStr">
        <is>
          <t>Home</t>
        </is>
      </c>
      <c r="F95" s="12" t="inlineStr">
        <is>
          <t>3+ team corners</t>
        </is>
      </c>
      <c r="G95" s="14" t="n">
        <v>3.5</v>
      </c>
      <c r="H95" s="14" t="n">
        <v>4.7</v>
      </c>
      <c r="I95" s="12" t="inlineStr">
        <is>
          <t>3/5</t>
        </is>
      </c>
      <c r="J95" s="17">
        <f>K95*(0.6+0.4*3/5)</f>
        <v/>
      </c>
      <c r="K95" s="14" t="n">
        <v>4.07</v>
      </c>
      <c r="L95" s="15">
        <f>IFERROR(1-(EXP(GAMMALN(0+'Read me'!$B$6)-GAMMALN('Read me'!$B$6)-GAMMALN(0+1)+'Read me'!$B$6*LN('Read me'!$B$6/('Read me'!$B$6+K95))+0*LN(K95/('Read me'!$B$6+K95)))+EXP(GAMMALN(1+'Read me'!$B$6)-GAMMALN('Read me'!$B$6)-GAMMALN(1+1)+'Read me'!$B$6*LN('Read me'!$B$6/('Read me'!$B$6+K95))+1*LN(K95/('Read me'!$B$6+K95)))+EXP(GAMMALN(2+'Read me'!$B$6)-GAMMALN('Read me'!$B$6)-GAMMALN(2+1)+'Read me'!$B$6*LN('Read me'!$B$6/('Read me'!$B$6+K95))+2*LN(K95/('Read me'!$B$6+K95)))),"")</f>
        <v/>
      </c>
      <c r="M95" s="16" t="n">
        <v>0</v>
      </c>
      <c r="N95" s="17">
        <f>IFERROR(1/L95,"")</f>
        <v/>
      </c>
      <c r="O95" s="18" t="n"/>
      <c r="P95" s="19">
        <f>IF(O95="","",O95*L95-1)</f>
        <v/>
      </c>
      <c r="Q95" s="20">
        <f>IF(P95="","awaiting price",IF(P95&gt;='Read me'!$B$7,"BET",IF(P95&gt;=0,"thin","no bet")))</f>
        <v/>
      </c>
    </row>
    <row r="96">
      <c r="A96" s="11" t="n">
        <v>46298</v>
      </c>
      <c r="B96" s="12" t="inlineStr">
        <is>
          <t>Argentina Liga Profesional</t>
        </is>
      </c>
      <c r="C96" s="12" t="inlineStr">
        <is>
          <t>Atletico Tucuman v Barracas Central</t>
        </is>
      </c>
      <c r="D96" s="12" t="inlineStr">
        <is>
          <t>Barracas Central</t>
        </is>
      </c>
      <c r="E96" s="12" t="inlineStr">
        <is>
          <t>Away</t>
        </is>
      </c>
      <c r="F96" s="12" t="inlineStr">
        <is>
          <t>3+ team corners</t>
        </is>
      </c>
      <c r="G96" s="14" t="n">
        <v>3.25</v>
      </c>
      <c r="H96" s="14" t="n">
        <v>3.57</v>
      </c>
      <c r="I96" s="12" t="inlineStr">
        <is>
          <t>5/5</t>
        </is>
      </c>
      <c r="J96" s="17">
        <f>K96*(0.6+0.4*5/5)</f>
        <v/>
      </c>
      <c r="K96" s="14" t="n">
        <v>3.34</v>
      </c>
      <c r="L96" s="15">
        <f>IFERROR(1-(EXP(GAMMALN(0+'Read me'!$B$6)-GAMMALN('Read me'!$B$6)-GAMMALN(0+1)+'Read me'!$B$6*LN('Read me'!$B$6/('Read me'!$B$6+K96))+0*LN(K96/('Read me'!$B$6+K96)))+EXP(GAMMALN(1+'Read me'!$B$6)-GAMMALN('Read me'!$B$6)-GAMMALN(1+1)+'Read me'!$B$6*LN('Read me'!$B$6/('Read me'!$B$6+K96))+1*LN(K96/('Read me'!$B$6+K96)))+EXP(GAMMALN(2+'Read me'!$B$6)-GAMMALN('Read me'!$B$6)-GAMMALN(2+1)+'Read me'!$B$6*LN('Read me'!$B$6/('Read me'!$B$6+K96))+2*LN(K96/('Read me'!$B$6+K96)))),"")</f>
        <v/>
      </c>
      <c r="M96" s="16" t="n">
        <v>0</v>
      </c>
      <c r="N96" s="17">
        <f>IFERROR(1/L96,"")</f>
        <v/>
      </c>
      <c r="O96" s="18" t="n"/>
      <c r="P96" s="19">
        <f>IF(O96="","",O96*L96-1)</f>
        <v/>
      </c>
      <c r="Q96" s="20">
        <f>IF(P96="","awaiting price",IF(P96&gt;='Read me'!$B$7,"BET",IF(P96&gt;=0,"thin","no bet")))</f>
        <v/>
      </c>
    </row>
    <row r="97">
      <c r="A97" s="11" t="n">
        <v>46302</v>
      </c>
      <c r="B97" s="12" t="inlineStr">
        <is>
          <t>Brazil Série B</t>
        </is>
      </c>
      <c r="C97" s="12" t="inlineStr">
        <is>
          <t>Ponte Preta v Juventude</t>
        </is>
      </c>
      <c r="D97" s="12" t="inlineStr">
        <is>
          <t>Ponte Preta</t>
        </is>
      </c>
      <c r="E97" s="12" t="inlineStr">
        <is>
          <t>Home</t>
        </is>
      </c>
      <c r="F97" s="12" t="inlineStr">
        <is>
          <t>3+ team corners</t>
        </is>
      </c>
      <c r="G97" s="14" t="n">
        <v>4</v>
      </c>
      <c r="H97" s="14" t="n">
        <v>4.7</v>
      </c>
      <c r="I97" s="12" t="inlineStr">
        <is>
          <t>2/5</t>
        </is>
      </c>
      <c r="J97" s="17">
        <f>K97*(0.6+0.4*2/5)</f>
        <v/>
      </c>
      <c r="K97" s="14" t="n">
        <v>4.31</v>
      </c>
      <c r="L97" s="15">
        <f>IFERROR(1-(EXP(GAMMALN(0+'Read me'!$B$6)-GAMMALN('Read me'!$B$6)-GAMMALN(0+1)+'Read me'!$B$6*LN('Read me'!$B$6/('Read me'!$B$6+K97))+0*LN(K97/('Read me'!$B$6+K97)))+EXP(GAMMALN(1+'Read me'!$B$6)-GAMMALN('Read me'!$B$6)-GAMMALN(1+1)+'Read me'!$B$6*LN('Read me'!$B$6/('Read me'!$B$6+K97))+1*LN(K97/('Read me'!$B$6+K97)))+EXP(GAMMALN(2+'Read me'!$B$6)-GAMMALN('Read me'!$B$6)-GAMMALN(2+1)+'Read me'!$B$6*LN('Read me'!$B$6/('Read me'!$B$6+K97))+2*LN(K97/('Read me'!$B$6+K97)))),"")</f>
        <v/>
      </c>
      <c r="M97" s="16" t="n">
        <v>0</v>
      </c>
      <c r="N97" s="17">
        <f>IFERROR(1/L97,"")</f>
        <v/>
      </c>
      <c r="O97" s="18" t="n"/>
      <c r="P97" s="19">
        <f>IF(O97="","",O97*L97-1)</f>
        <v/>
      </c>
      <c r="Q97" s="20">
        <f>IF(P97="","awaiting price",IF(P97&gt;='Read me'!$B$7,"BET",IF(P97&gt;=0,"thin","no bet")))</f>
        <v/>
      </c>
    </row>
    <row r="98">
      <c r="A98" s="11" t="n">
        <v>46302</v>
      </c>
      <c r="B98" s="12" t="inlineStr">
        <is>
          <t>Brazil Série A</t>
        </is>
      </c>
      <c r="C98" s="12" t="inlineStr">
        <is>
          <t>Remo v Gremio</t>
        </is>
      </c>
      <c r="D98" s="12" t="inlineStr">
        <is>
          <t>Gremio</t>
        </is>
      </c>
      <c r="E98" s="12" t="inlineStr">
        <is>
          <t>Away</t>
        </is>
      </c>
      <c r="F98" s="12" t="inlineStr">
        <is>
          <t>4+ team corners</t>
        </is>
      </c>
      <c r="G98" s="14" t="n">
        <v>3</v>
      </c>
      <c r="H98" s="14" t="n">
        <v>6.9</v>
      </c>
      <c r="I98" s="12" t="inlineStr">
        <is>
          <t>1/5</t>
        </is>
      </c>
      <c r="J98" s="17">
        <f>K98*(0.6+0.4*1/5)</f>
        <v/>
      </c>
      <c r="K98" s="14" t="n">
        <v>4.76</v>
      </c>
      <c r="L98" s="15">
        <f>IFERROR(1-(EXP(GAMMALN(0+'Read me'!$B$6)-GAMMALN('Read me'!$B$6)-GAMMALN(0+1)+'Read me'!$B$6*LN('Read me'!$B$6/('Read me'!$B$6+K98))+0*LN(K98/('Read me'!$B$6+K98)))+EXP(GAMMALN(1+'Read me'!$B$6)-GAMMALN('Read me'!$B$6)-GAMMALN(1+1)+'Read me'!$B$6*LN('Read me'!$B$6/('Read me'!$B$6+K98))+1*LN(K98/('Read me'!$B$6+K98)))+EXP(GAMMALN(2+'Read me'!$B$6)-GAMMALN('Read me'!$B$6)-GAMMALN(2+1)+'Read me'!$B$6*LN('Read me'!$B$6/('Read me'!$B$6+K98))+2*LN(K98/('Read me'!$B$6+K98)))+EXP(GAMMALN(3+'Read me'!$B$6)-GAMMALN('Read me'!$B$6)-GAMMALN(3+1)+'Read me'!$B$6*LN('Read me'!$B$6/('Read me'!$B$6+K98))+3*LN(K98/('Read me'!$B$6+K98)))),"")</f>
        <v/>
      </c>
      <c r="M98" s="16" t="n">
        <v>0</v>
      </c>
      <c r="N98" s="17">
        <f>IFERROR(1/L98,"")</f>
        <v/>
      </c>
      <c r="O98" s="18" t="n"/>
      <c r="P98" s="19">
        <f>IF(O98="","",O98*L98-1)</f>
        <v/>
      </c>
      <c r="Q98" s="20">
        <f>IF(P98="","awaiting price",IF(P98&gt;='Read me'!$B$7,"BET",IF(P98&gt;=0,"thin","no bet")))</f>
        <v/>
      </c>
    </row>
    <row r="99">
      <c r="A99" s="11" t="n">
        <v>46302</v>
      </c>
      <c r="B99" s="12" t="inlineStr">
        <is>
          <t>Brazil Série B</t>
        </is>
      </c>
      <c r="C99" s="12" t="inlineStr">
        <is>
          <t>Ponte Preta v Juventude</t>
        </is>
      </c>
      <c r="D99" s="12" t="inlineStr">
        <is>
          <t>Juventude</t>
        </is>
      </c>
      <c r="E99" s="12" t="inlineStr">
        <is>
          <t>Away</t>
        </is>
      </c>
      <c r="F99" s="12" t="inlineStr">
        <is>
          <t>4+ team corners</t>
        </is>
      </c>
      <c r="G99" s="14" t="n">
        <v>4</v>
      </c>
      <c r="H99" s="14" t="n">
        <v>5.6</v>
      </c>
      <c r="I99" s="12" t="inlineStr">
        <is>
          <t>1/5</t>
        </is>
      </c>
      <c r="J99" s="17">
        <f>K99*(0.6+0.4*1/5)</f>
        <v/>
      </c>
      <c r="K99" s="14" t="n">
        <v>4.69</v>
      </c>
      <c r="L99" s="15">
        <f>IFERROR(1-(EXP(GAMMALN(0+'Read me'!$B$6)-GAMMALN('Read me'!$B$6)-GAMMALN(0+1)+'Read me'!$B$6*LN('Read me'!$B$6/('Read me'!$B$6+K99))+0*LN(K99/('Read me'!$B$6+K99)))+EXP(GAMMALN(1+'Read me'!$B$6)-GAMMALN('Read me'!$B$6)-GAMMALN(1+1)+'Read me'!$B$6*LN('Read me'!$B$6/('Read me'!$B$6+K99))+1*LN(K99/('Read me'!$B$6+K99)))+EXP(GAMMALN(2+'Read me'!$B$6)-GAMMALN('Read me'!$B$6)-GAMMALN(2+1)+'Read me'!$B$6*LN('Read me'!$B$6/('Read me'!$B$6+K99))+2*LN(K99/('Read me'!$B$6+K99)))+EXP(GAMMALN(3+'Read me'!$B$6)-GAMMALN('Read me'!$B$6)-GAMMALN(3+1)+'Read me'!$B$6*LN('Read me'!$B$6/('Read me'!$B$6+K99))+3*LN(K99/('Read me'!$B$6+K99)))),"")</f>
        <v/>
      </c>
      <c r="M99" s="16" t="n">
        <v>0</v>
      </c>
      <c r="N99" s="17">
        <f>IFERROR(1/L99,"")</f>
        <v/>
      </c>
      <c r="O99" s="18" t="n"/>
      <c r="P99" s="19">
        <f>IF(O99="","",O99*L99-1)</f>
        <v/>
      </c>
      <c r="Q99" s="20">
        <f>IF(P99="","awaiting price",IF(P99&gt;='Read me'!$B$7,"BET",IF(P99&gt;=0,"thin","no bet")))</f>
        <v/>
      </c>
    </row>
    <row r="100">
      <c r="A100" s="11" t="n">
        <v>46298</v>
      </c>
      <c r="B100" s="12" t="inlineStr">
        <is>
          <t>Argentina Liga Profesional</t>
        </is>
      </c>
      <c r="C100" s="12" t="inlineStr">
        <is>
          <t>Newells Old Boys v Lanus</t>
        </is>
      </c>
      <c r="D100" s="12" t="inlineStr">
        <is>
          <t>Lanus</t>
        </is>
      </c>
      <c r="E100" s="12" t="inlineStr">
        <is>
          <t>Away</t>
        </is>
      </c>
      <c r="F100" s="12" t="inlineStr">
        <is>
          <t>3+ team corners</t>
        </is>
      </c>
      <c r="G100" s="14" t="n">
        <v>2.5</v>
      </c>
      <c r="H100" s="14" t="n">
        <v>4.29</v>
      </c>
      <c r="I100" s="12" t="inlineStr">
        <is>
          <t>4/5</t>
        </is>
      </c>
      <c r="J100" s="17">
        <f>K100*(0.6+0.4*4/5)</f>
        <v/>
      </c>
      <c r="K100" s="14" t="n">
        <v>3.36</v>
      </c>
      <c r="L100" s="15">
        <f>IFERROR(1-(EXP(GAMMALN(0+'Read me'!$B$6)-GAMMALN('Read me'!$B$6)-GAMMALN(0+1)+'Read me'!$B$6*LN('Read me'!$B$6/('Read me'!$B$6+K100))+0*LN(K100/('Read me'!$B$6+K100)))+EXP(GAMMALN(1+'Read me'!$B$6)-GAMMALN('Read me'!$B$6)-GAMMALN(1+1)+'Read me'!$B$6*LN('Read me'!$B$6/('Read me'!$B$6+K100))+1*LN(K100/('Read me'!$B$6+K100)))+EXP(GAMMALN(2+'Read me'!$B$6)-GAMMALN('Read me'!$B$6)-GAMMALN(2+1)+'Read me'!$B$6*LN('Read me'!$B$6/('Read me'!$B$6+K100))+2*LN(K100/('Read me'!$B$6+K100)))),"")</f>
        <v/>
      </c>
      <c r="M100" s="16" t="n">
        <v>0</v>
      </c>
      <c r="N100" s="17">
        <f>IFERROR(1/L100,"")</f>
        <v/>
      </c>
      <c r="O100" s="18" t="n"/>
      <c r="P100" s="19">
        <f>IF(O100="","",O100*L100-1)</f>
        <v/>
      </c>
      <c r="Q100" s="20">
        <f>IF(P100="","awaiting price",IF(P100&gt;='Read me'!$B$7,"BET",IF(P100&gt;=0,"thin","no bet")))</f>
        <v/>
      </c>
    </row>
    <row r="101">
      <c r="A101" s="11" t="n">
        <v>46298</v>
      </c>
      <c r="B101" s="12" t="inlineStr">
        <is>
          <t>Netherlands Eerste Divisie</t>
        </is>
      </c>
      <c r="C101" s="12" t="inlineStr">
        <is>
          <t>Almere City FC v FC Volendam</t>
        </is>
      </c>
      <c r="D101" s="12" t="inlineStr">
        <is>
          <t>FC Volendam</t>
        </is>
      </c>
      <c r="E101" s="12" t="inlineStr">
        <is>
          <t>Away</t>
        </is>
      </c>
      <c r="F101" s="12" t="inlineStr">
        <is>
          <t>3+ team corners</t>
        </is>
      </c>
      <c r="G101" s="14" t="n">
        <v>2.25</v>
      </c>
      <c r="H101" s="14" t="n">
        <v>4.5</v>
      </c>
      <c r="I101" s="12" t="inlineStr">
        <is>
          <t>4/5</t>
        </is>
      </c>
      <c r="J101" s="17">
        <f>K101*(0.6+0.4*4/5)</f>
        <v/>
      </c>
      <c r="K101" s="14" t="n">
        <v>3.22</v>
      </c>
      <c r="L101" s="15">
        <f>IFERROR(1-(EXP(GAMMALN(0+'Read me'!$B$6)-GAMMALN('Read me'!$B$6)-GAMMALN(0+1)+'Read me'!$B$6*LN('Read me'!$B$6/('Read me'!$B$6+K101))+0*LN(K101/('Read me'!$B$6+K101)))+EXP(GAMMALN(1+'Read me'!$B$6)-GAMMALN('Read me'!$B$6)-GAMMALN(1+1)+'Read me'!$B$6*LN('Read me'!$B$6/('Read me'!$B$6+K101))+1*LN(K101/('Read me'!$B$6+K101)))+EXP(GAMMALN(2+'Read me'!$B$6)-GAMMALN('Read me'!$B$6)-GAMMALN(2+1)+'Read me'!$B$6*LN('Read me'!$B$6/('Read me'!$B$6+K101))+2*LN(K101/('Read me'!$B$6+K101)))),"")</f>
        <v/>
      </c>
      <c r="M101" s="16" t="n">
        <v>0</v>
      </c>
      <c r="N101" s="17">
        <f>IFERROR(1/L101,"")</f>
        <v/>
      </c>
      <c r="O101" s="18" t="n"/>
      <c r="P101" s="19">
        <f>IF(O101="","",O101*L101-1)</f>
        <v/>
      </c>
      <c r="Q101" s="20">
        <f>IF(P101="","awaiting price",IF(P101&gt;='Read me'!$B$7,"BET",IF(P101&gt;=0,"thin","no bet")))</f>
        <v/>
      </c>
    </row>
    <row r="102">
      <c r="A102" s="11" t="n">
        <v>46298</v>
      </c>
      <c r="B102" s="12" t="inlineStr">
        <is>
          <t>England League Two</t>
        </is>
      </c>
      <c r="C102" s="12" t="inlineStr">
        <is>
          <t>Chesterfield v Tranmere</t>
        </is>
      </c>
      <c r="D102" s="12" t="inlineStr">
        <is>
          <t>Tranmere</t>
        </is>
      </c>
      <c r="E102" s="12" t="inlineStr">
        <is>
          <t>Away</t>
        </is>
      </c>
      <c r="F102" s="12" t="inlineStr">
        <is>
          <t>3+ team corners</t>
        </is>
      </c>
      <c r="G102" s="14" t="n">
        <v>4.3</v>
      </c>
      <c r="H102" s="14" t="n">
        <v>3.7</v>
      </c>
      <c r="I102" s="12" t="inlineStr">
        <is>
          <t>2/5</t>
        </is>
      </c>
      <c r="J102" s="17">
        <f>K102*(0.6+0.4*2/5)</f>
        <v/>
      </c>
      <c r="K102" s="14" t="n">
        <v>3.88</v>
      </c>
      <c r="L102" s="15">
        <f>IFERROR(1-(EXP(GAMMALN(0+'Read me'!$B$6)-GAMMALN('Read me'!$B$6)-GAMMALN(0+1)+'Read me'!$B$6*LN('Read me'!$B$6/('Read me'!$B$6+K102))+0*LN(K102/('Read me'!$B$6+K102)))+EXP(GAMMALN(1+'Read me'!$B$6)-GAMMALN('Read me'!$B$6)-GAMMALN(1+1)+'Read me'!$B$6*LN('Read me'!$B$6/('Read me'!$B$6+K102))+1*LN(K102/('Read me'!$B$6+K102)))+EXP(GAMMALN(2+'Read me'!$B$6)-GAMMALN('Read me'!$B$6)-GAMMALN(2+1)+'Read me'!$B$6*LN('Read me'!$B$6/('Read me'!$B$6+K102))+2*LN(K102/('Read me'!$B$6+K102)))),"")</f>
        <v/>
      </c>
      <c r="M102" s="16" t="n">
        <v>0</v>
      </c>
      <c r="N102" s="17">
        <f>IFERROR(1/L102,"")</f>
        <v/>
      </c>
      <c r="O102" s="18" t="n"/>
      <c r="P102" s="19">
        <f>IF(O102="","",O102*L102-1)</f>
        <v/>
      </c>
      <c r="Q102" s="20">
        <f>IF(P102="","awaiting price",IF(P102&gt;='Read me'!$B$7,"BET",IF(P102&gt;=0,"thin","no bet")))</f>
        <v/>
      </c>
    </row>
    <row r="103">
      <c r="A103" s="11" t="n">
        <v>46298</v>
      </c>
      <c r="B103" s="12" t="inlineStr">
        <is>
          <t>Argentina Liga Profesional</t>
        </is>
      </c>
      <c r="C103" s="12" t="inlineStr">
        <is>
          <t>Defensa Y Justicia v San Lorenzo</t>
        </is>
      </c>
      <c r="D103" s="12" t="inlineStr">
        <is>
          <t>San Lorenzo</t>
        </is>
      </c>
      <c r="E103" s="12" t="inlineStr">
        <is>
          <t>Away</t>
        </is>
      </c>
      <c r="F103" s="12" t="inlineStr">
        <is>
          <t>3+ team corners</t>
        </is>
      </c>
      <c r="G103" s="14" t="n">
        <v>3</v>
      </c>
      <c r="H103" s="14" t="n">
        <v>4.25</v>
      </c>
      <c r="I103" s="12" t="inlineStr">
        <is>
          <t>2/5</t>
        </is>
      </c>
      <c r="J103" s="17">
        <f>K103*(0.6+0.4*2/5)</f>
        <v/>
      </c>
      <c r="K103" s="14" t="n">
        <v>3.5</v>
      </c>
      <c r="L103" s="15">
        <f>IFERROR(1-(EXP(GAMMALN(0+'Read me'!$B$6)-GAMMALN('Read me'!$B$6)-GAMMALN(0+1)+'Read me'!$B$6*LN('Read me'!$B$6/('Read me'!$B$6+K103))+0*LN(K103/('Read me'!$B$6+K103)))+EXP(GAMMALN(1+'Read me'!$B$6)-GAMMALN('Read me'!$B$6)-GAMMALN(1+1)+'Read me'!$B$6*LN('Read me'!$B$6/('Read me'!$B$6+K103))+1*LN(K103/('Read me'!$B$6+K103)))+EXP(GAMMALN(2+'Read me'!$B$6)-GAMMALN('Read me'!$B$6)-GAMMALN(2+1)+'Read me'!$B$6*LN('Read me'!$B$6/('Read me'!$B$6+K103))+2*LN(K103/('Read me'!$B$6+K103)))),"")</f>
        <v/>
      </c>
      <c r="M103" s="16" t="n">
        <v>0</v>
      </c>
      <c r="N103" s="17">
        <f>IFERROR(1/L103,"")</f>
        <v/>
      </c>
      <c r="O103" s="18" t="n"/>
      <c r="P103" s="19">
        <f>IF(O103="","",O103*L103-1)</f>
        <v/>
      </c>
      <c r="Q103" s="20">
        <f>IF(P103="","awaiting price",IF(P103&gt;='Read me'!$B$7,"BET",IF(P103&gt;=0,"thin","no bet")))</f>
        <v/>
      </c>
    </row>
    <row r="104">
      <c r="A104" s="11" t="n">
        <v>46300</v>
      </c>
      <c r="B104" s="12" t="inlineStr">
        <is>
          <t>Argentina Liga Profesional</t>
        </is>
      </c>
      <c r="C104" s="12" t="inlineStr">
        <is>
          <t>Estudiantes L.P. v Gimnasia M.</t>
        </is>
      </c>
      <c r="D104" s="12" t="inlineStr">
        <is>
          <t>Gimnasia M.</t>
        </is>
      </c>
      <c r="E104" s="12" t="inlineStr">
        <is>
          <t>Away</t>
        </is>
      </c>
      <c r="F104" s="12" t="inlineStr">
        <is>
          <t>3+ team corners</t>
        </is>
      </c>
      <c r="G104" s="14" t="n">
        <v>3.12</v>
      </c>
      <c r="H104" s="14" t="n">
        <v>3.22</v>
      </c>
      <c r="I104" s="12" t="inlineStr">
        <is>
          <t>3/5</t>
        </is>
      </c>
      <c r="J104" s="17">
        <f>K104*(0.6+0.4*3/5)</f>
        <v/>
      </c>
      <c r="K104" s="14" t="n">
        <v>3.08</v>
      </c>
      <c r="L104" s="15">
        <f>IFERROR(1-(EXP(GAMMALN(0+'Read me'!$B$6)-GAMMALN('Read me'!$B$6)-GAMMALN(0+1)+'Read me'!$B$6*LN('Read me'!$B$6/('Read me'!$B$6+K104))+0*LN(K104/('Read me'!$B$6+K104)))+EXP(GAMMALN(1+'Read me'!$B$6)-GAMMALN('Read me'!$B$6)-GAMMALN(1+1)+'Read me'!$B$6*LN('Read me'!$B$6/('Read me'!$B$6+K104))+1*LN(K104/('Read me'!$B$6+K104)))+EXP(GAMMALN(2+'Read me'!$B$6)-GAMMALN('Read me'!$B$6)-GAMMALN(2+1)+'Read me'!$B$6*LN('Read me'!$B$6/('Read me'!$B$6+K104))+2*LN(K104/('Read me'!$B$6+K104)))),"")</f>
        <v/>
      </c>
      <c r="M104" s="16" t="n">
        <v>0</v>
      </c>
      <c r="N104" s="17">
        <f>IFERROR(1/L104,"")</f>
        <v/>
      </c>
      <c r="O104" s="18" t="n"/>
      <c r="P104" s="19">
        <f>IF(O104="","",O104*L104-1)</f>
        <v/>
      </c>
      <c r="Q104" s="20">
        <f>IF(P104="","awaiting price",IF(P104&gt;='Read me'!$B$7,"BET",IF(P104&gt;=0,"thin","no bet")))</f>
        <v/>
      </c>
    </row>
    <row r="105">
      <c r="A105" s="11" t="n">
        <v>46302</v>
      </c>
      <c r="B105" s="12" t="inlineStr">
        <is>
          <t>Brazil Série A</t>
        </is>
      </c>
      <c r="C105" s="12" t="inlineStr">
        <is>
          <t>Vitoria v Chapecoense-sc</t>
        </is>
      </c>
      <c r="D105" s="12" t="inlineStr">
        <is>
          <t>Chapecoense-sc</t>
        </is>
      </c>
      <c r="E105" s="12" t="inlineStr">
        <is>
          <t>Away</t>
        </is>
      </c>
      <c r="F105" s="12" t="inlineStr">
        <is>
          <t>3+ team corners</t>
        </is>
      </c>
      <c r="G105" s="14" t="n">
        <v>2.73</v>
      </c>
      <c r="H105" s="14" t="n">
        <v>3.5</v>
      </c>
      <c r="I105" s="12" t="inlineStr">
        <is>
          <t>3/5</t>
        </is>
      </c>
      <c r="J105" s="17">
        <f>K105*(0.6+0.4*3/5)</f>
        <v/>
      </c>
      <c r="K105" s="14" t="n">
        <v>3.07</v>
      </c>
      <c r="L105" s="15">
        <f>IFERROR(1-(EXP(GAMMALN(0+'Read me'!$B$6)-GAMMALN('Read me'!$B$6)-GAMMALN(0+1)+'Read me'!$B$6*LN('Read me'!$B$6/('Read me'!$B$6+K105))+0*LN(K105/('Read me'!$B$6+K105)))+EXP(GAMMALN(1+'Read me'!$B$6)-GAMMALN('Read me'!$B$6)-GAMMALN(1+1)+'Read me'!$B$6*LN('Read me'!$B$6/('Read me'!$B$6+K105))+1*LN(K105/('Read me'!$B$6+K105)))+EXP(GAMMALN(2+'Read me'!$B$6)-GAMMALN('Read me'!$B$6)-GAMMALN(2+1)+'Read me'!$B$6*LN('Read me'!$B$6/('Read me'!$B$6+K105))+2*LN(K105/('Read me'!$B$6+K105)))),"")</f>
        <v/>
      </c>
      <c r="M105" s="16" t="n">
        <v>0</v>
      </c>
      <c r="N105" s="17">
        <f>IFERROR(1/L105,"")</f>
        <v/>
      </c>
      <c r="O105" s="18" t="n"/>
      <c r="P105" s="19">
        <f>IF(O105="","",O105*L105-1)</f>
        <v/>
      </c>
      <c r="Q105" s="20">
        <f>IF(P105="","awaiting price",IF(P105&gt;='Read me'!$B$7,"BET",IF(P105&gt;=0,"thin","no bet")))</f>
        <v/>
      </c>
    </row>
    <row r="106">
      <c r="A106" s="11" t="n">
        <v>46297</v>
      </c>
      <c r="B106" s="12" t="inlineStr">
        <is>
          <t>Brazil Série B</t>
        </is>
      </c>
      <c r="C106" s="12" t="inlineStr">
        <is>
          <t>Juventude v Operario-PR</t>
        </is>
      </c>
      <c r="D106" s="12" t="inlineStr">
        <is>
          <t>Operario-PR</t>
        </is>
      </c>
      <c r="E106" s="12" t="inlineStr">
        <is>
          <t>Away</t>
        </is>
      </c>
      <c r="F106" s="12" t="inlineStr">
        <is>
          <t>3+ team corners</t>
        </is>
      </c>
      <c r="G106" s="14" t="n">
        <v>2.82</v>
      </c>
      <c r="H106" s="14" t="n">
        <v>3.5</v>
      </c>
      <c r="I106" s="12" t="inlineStr">
        <is>
          <t>2/5</t>
        </is>
      </c>
      <c r="J106" s="17">
        <f>K106*(0.6+0.4*2/5)</f>
        <v/>
      </c>
      <c r="K106" s="14" t="n">
        <v>3.2</v>
      </c>
      <c r="L106" s="15">
        <f>IFERROR(1-(EXP(GAMMALN(0+'Read me'!$B$6)-GAMMALN('Read me'!$B$6)-GAMMALN(0+1)+'Read me'!$B$6*LN('Read me'!$B$6/('Read me'!$B$6+K106))+0*LN(K106/('Read me'!$B$6+K106)))+EXP(GAMMALN(1+'Read me'!$B$6)-GAMMALN('Read me'!$B$6)-GAMMALN(1+1)+'Read me'!$B$6*LN('Read me'!$B$6/('Read me'!$B$6+K106))+1*LN(K106/('Read me'!$B$6+K106)))+EXP(GAMMALN(2+'Read me'!$B$6)-GAMMALN('Read me'!$B$6)-GAMMALN(2+1)+'Read me'!$B$6*LN('Read me'!$B$6/('Read me'!$B$6+K106))+2*LN(K106/('Read me'!$B$6+K106)))),"")</f>
        <v/>
      </c>
      <c r="M106" s="16" t="n">
        <v>0</v>
      </c>
      <c r="N106" s="17">
        <f>IFERROR(1/L106,"")</f>
        <v/>
      </c>
      <c r="O106" s="18" t="n"/>
      <c r="P106" s="19">
        <f>IF(O106="","",O106*L106-1)</f>
        <v/>
      </c>
      <c r="Q106" s="20">
        <f>IF(P106="","awaiting price",IF(P106&gt;='Read me'!$B$7,"BET",IF(P106&gt;=0,"thin","no bet")))</f>
        <v/>
      </c>
    </row>
    <row r="107">
      <c r="A107" s="11" t="n">
        <v>46298</v>
      </c>
      <c r="B107" s="12" t="inlineStr">
        <is>
          <t>Brazil Série B</t>
        </is>
      </c>
      <c r="C107" s="12" t="inlineStr">
        <is>
          <t>Cuiaba v Ponte Preta</t>
        </is>
      </c>
      <c r="D107" s="12" t="inlineStr">
        <is>
          <t>Ponte Preta</t>
        </is>
      </c>
      <c r="E107" s="12" t="inlineStr">
        <is>
          <t>Away</t>
        </is>
      </c>
      <c r="F107" s="12" t="inlineStr">
        <is>
          <t>3+ team corners</t>
        </is>
      </c>
      <c r="G107" s="14" t="n">
        <v>3</v>
      </c>
      <c r="H107" s="14" t="n">
        <v>3.2</v>
      </c>
      <c r="I107" s="12" t="inlineStr">
        <is>
          <t>2/5</t>
        </is>
      </c>
      <c r="J107" s="17">
        <f>K107*(0.6+0.4*2/5)</f>
        <v/>
      </c>
      <c r="K107" s="14" t="n">
        <v>2.98</v>
      </c>
      <c r="L107" s="15">
        <f>IFERROR(1-(EXP(GAMMALN(0+'Read me'!$B$6)-GAMMALN('Read me'!$B$6)-GAMMALN(0+1)+'Read me'!$B$6*LN('Read me'!$B$6/('Read me'!$B$6+K107))+0*LN(K107/('Read me'!$B$6+K107)))+EXP(GAMMALN(1+'Read me'!$B$6)-GAMMALN('Read me'!$B$6)-GAMMALN(1+1)+'Read me'!$B$6*LN('Read me'!$B$6/('Read me'!$B$6+K107))+1*LN(K107/('Read me'!$B$6+K107)))+EXP(GAMMALN(2+'Read me'!$B$6)-GAMMALN('Read me'!$B$6)-GAMMALN(2+1)+'Read me'!$B$6*LN('Read me'!$B$6/('Read me'!$B$6+K107))+2*LN(K107/('Read me'!$B$6+K107)))),"")</f>
        <v/>
      </c>
      <c r="M107" s="16" t="n">
        <v>0</v>
      </c>
      <c r="N107" s="17">
        <f>IFERROR(1/L107,"")</f>
        <v/>
      </c>
      <c r="O107" s="18" t="n"/>
      <c r="P107" s="19">
        <f>IF(O107="","",O107*L107-1)</f>
        <v/>
      </c>
      <c r="Q107" s="20">
        <f>IF(P107="","awaiting price",IF(P107&gt;='Read me'!$B$7,"BET",IF(P107&gt;=0,"thin","no bet")))</f>
        <v/>
      </c>
    </row>
  </sheetData>
  <autoFilter ref="A1:Q107"/>
  <dataValidations count="1">
    <dataValidation sqref="O2:O107" showDropDown="0" showInputMessage="0" showErrorMessage="1" allowBlank="1" errorTitle="Decimal odds" error="Enter decimal odds above 1.00 (e.g. 1.83), not fractional." type="decimal" operator="greaterThan">
      <formula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0" customWidth="1" min="4" max="4"/>
    <col width="7" customWidth="1" min="5" max="5"/>
    <col width="20" customWidth="1" min="6" max="6"/>
    <col width="14" customWidth="1" min="7" max="7"/>
    <col width="6" customWidth="1" min="8" max="8"/>
    <col width="6" customWidth="1" min="9" max="9"/>
    <col width="8" customWidth="1" min="10" max="10"/>
    <col width="11" customWidth="1" min="11" max="11"/>
    <col width="7" customWidth="1" min="12" max="12"/>
    <col width="8" customWidth="1" min="13" max="13"/>
    <col width="7" customWidth="1" min="14" max="14"/>
    <col width="7" customWidth="1" min="15" max="15"/>
    <col width="8" customWidth="1" min="16" max="16"/>
    <col width="8" customWidth="1" min="17" max="17"/>
    <col width="13" customWidth="1" min="18" max="18"/>
  </cols>
  <sheetData>
    <row r="1">
      <c r="A1" s="10" t="inlineStr">
        <is>
          <t>Date</t>
        </is>
      </c>
      <c r="B1" s="10" t="inlineStr">
        <is>
          <t>League</t>
        </is>
      </c>
      <c r="C1" s="10" t="inlineStr">
        <is>
          <t>Fixture</t>
        </is>
      </c>
      <c r="D1" s="10" t="inlineStr">
        <is>
          <t>Team</t>
        </is>
      </c>
      <c r="E1" s="10" t="inlineStr">
        <is>
          <t>Side</t>
        </is>
      </c>
      <c r="F1" s="10" t="inlineStr">
        <is>
          <t>Bet</t>
        </is>
      </c>
      <c r="G1" s="10" t="inlineStr">
        <is>
          <t>Streak line</t>
        </is>
      </c>
      <c r="H1" s="10" t="inlineStr">
        <is>
          <t>Run</t>
        </is>
      </c>
      <c r="I1" s="10" t="inlineStr">
        <is>
          <t>L5</t>
        </is>
      </c>
      <c r="J1" s="10" t="inlineStr">
        <is>
          <t>Team/g</t>
        </is>
      </c>
      <c r="K1" s="10" t="inlineStr">
        <is>
          <t>Opp conc/g</t>
        </is>
      </c>
      <c r="L1" s="10" t="inlineStr">
        <is>
          <t>λ</t>
        </is>
      </c>
      <c r="M1" s="10" t="inlineStr">
        <is>
          <t>Prob</t>
        </is>
      </c>
      <c r="N1" s="10" t="inlineStr">
        <is>
          <t>Void</t>
        </is>
      </c>
      <c r="O1" s="10" t="inlineStr">
        <is>
          <t>Fair</t>
        </is>
      </c>
      <c r="P1" s="10" t="inlineStr">
        <is>
          <t>Book</t>
        </is>
      </c>
      <c r="Q1" s="10" t="inlineStr">
        <is>
          <t>EV</t>
        </is>
      </c>
      <c r="R1" s="10" t="inlineStr">
        <is>
          <t>Verdict</t>
        </is>
      </c>
    </row>
    <row r="2">
      <c r="A2" s="11" t="n">
        <v>46297</v>
      </c>
      <c r="B2" s="12" t="inlineStr">
        <is>
          <t>Brazil Série A</t>
        </is>
      </c>
      <c r="C2" s="12" t="inlineStr">
        <is>
          <t>Sao Paulo v Santos</t>
        </is>
      </c>
      <c r="D2" s="12" t="inlineStr">
        <is>
          <t>Sao Paulo</t>
        </is>
      </c>
      <c r="E2" s="12" t="inlineStr">
        <is>
          <t>Home</t>
        </is>
      </c>
      <c r="F2" s="12" t="inlineStr">
        <is>
          <t>6+ team corners</t>
        </is>
      </c>
      <c r="G2" s="12" t="inlineStr">
        <is>
          <t>3+</t>
        </is>
      </c>
      <c r="H2" s="12" t="n">
        <v>7</v>
      </c>
      <c r="I2" s="12" t="inlineStr">
        <is>
          <t>5/5</t>
        </is>
      </c>
      <c r="J2" s="14" t="n">
        <v>8.6</v>
      </c>
      <c r="K2" s="14" t="n">
        <v>5.9</v>
      </c>
      <c r="L2" s="14" t="n">
        <v>7.44</v>
      </c>
      <c r="M2" s="15">
        <f>IFERROR(1-(EXP(GAMMALN(0+'Read me'!$B$6)-GAMMALN('Read me'!$B$6)-GAMMALN(0+1)+'Read me'!$B$6*LN('Read me'!$B$6/('Read me'!$B$6+L2))+0*LN(L2/('Read me'!$B$6+L2)))+EXP(GAMMALN(1+'Read me'!$B$6)-GAMMALN('Read me'!$B$6)-GAMMALN(1+1)+'Read me'!$B$6*LN('Read me'!$B$6/('Read me'!$B$6+L2))+1*LN(L2/('Read me'!$B$6+L2)))+EXP(GAMMALN(2+'Read me'!$B$6)-GAMMALN('Read me'!$B$6)-GAMMALN(2+1)+'Read me'!$B$6*LN('Read me'!$B$6/('Read me'!$B$6+L2))+2*LN(L2/('Read me'!$B$6+L2)))+EXP(GAMMALN(3+'Read me'!$B$6)-GAMMALN('Read me'!$B$6)-GAMMALN(3+1)+'Read me'!$B$6*LN('Read me'!$B$6/('Read me'!$B$6+L2))+3*LN(L2/('Read me'!$B$6+L2)))+EXP(GAMMALN(4+'Read me'!$B$6)-GAMMALN('Read me'!$B$6)-GAMMALN(4+1)+'Read me'!$B$6*LN('Read me'!$B$6/('Read me'!$B$6+L2))+4*LN(L2/('Read me'!$B$6+L2)))+EXP(GAMMALN(5+'Read me'!$B$6)-GAMMALN('Read me'!$B$6)-GAMMALN(5+1)+'Read me'!$B$6*LN('Read me'!$B$6/('Read me'!$B$6+L2))+5*LN(L2/('Read me'!$B$6+L2)))),"")</f>
        <v/>
      </c>
      <c r="N2" s="16" t="n">
        <v>0</v>
      </c>
      <c r="O2" s="17">
        <f>IFERROR(1/M2,"")</f>
        <v/>
      </c>
      <c r="P2" s="18" t="n"/>
      <c r="Q2" s="19">
        <f>IF(P2="","",P2*M2-1)</f>
        <v/>
      </c>
      <c r="R2" s="20">
        <f>IF(Q2="","awaiting price",IF(Q2&gt;='Read me'!$B$7,"BET",IF(Q2&gt;=0,"thin","no bet")))</f>
        <v/>
      </c>
    </row>
    <row r="3">
      <c r="A3" s="11" t="n">
        <v>46297</v>
      </c>
      <c r="B3" s="12" t="inlineStr">
        <is>
          <t>Brazil Série B</t>
        </is>
      </c>
      <c r="C3" s="12" t="inlineStr">
        <is>
          <t>Novorizontino v Goias</t>
        </is>
      </c>
      <c r="D3" s="12" t="inlineStr">
        <is>
          <t>Novorizontino</t>
        </is>
      </c>
      <c r="E3" s="12" t="inlineStr">
        <is>
          <t>Home</t>
        </is>
      </c>
      <c r="F3" s="12" t="inlineStr">
        <is>
          <t>6+ team corners</t>
        </is>
      </c>
      <c r="G3" s="12" t="inlineStr">
        <is>
          <t>4+</t>
        </is>
      </c>
      <c r="H3" s="12" t="n">
        <v>13</v>
      </c>
      <c r="I3" s="12" t="inlineStr">
        <is>
          <t>5/5</t>
        </is>
      </c>
      <c r="J3" s="14" t="n">
        <v>8</v>
      </c>
      <c r="K3" s="14" t="n">
        <v>5.9</v>
      </c>
      <c r="L3" s="14" t="n">
        <v>7.32</v>
      </c>
      <c r="M3" s="15">
        <f>IFERROR(1-(EXP(GAMMALN(0+'Read me'!$B$6)-GAMMALN('Read me'!$B$6)-GAMMALN(0+1)+'Read me'!$B$6*LN('Read me'!$B$6/('Read me'!$B$6+L3))+0*LN(L3/('Read me'!$B$6+L3)))+EXP(GAMMALN(1+'Read me'!$B$6)-GAMMALN('Read me'!$B$6)-GAMMALN(1+1)+'Read me'!$B$6*LN('Read me'!$B$6/('Read me'!$B$6+L3))+1*LN(L3/('Read me'!$B$6+L3)))+EXP(GAMMALN(2+'Read me'!$B$6)-GAMMALN('Read me'!$B$6)-GAMMALN(2+1)+'Read me'!$B$6*LN('Read me'!$B$6/('Read me'!$B$6+L3))+2*LN(L3/('Read me'!$B$6+L3)))+EXP(GAMMALN(3+'Read me'!$B$6)-GAMMALN('Read me'!$B$6)-GAMMALN(3+1)+'Read me'!$B$6*LN('Read me'!$B$6/('Read me'!$B$6+L3))+3*LN(L3/('Read me'!$B$6+L3)))+EXP(GAMMALN(4+'Read me'!$B$6)-GAMMALN('Read me'!$B$6)-GAMMALN(4+1)+'Read me'!$B$6*LN('Read me'!$B$6/('Read me'!$B$6+L3))+4*LN(L3/('Read me'!$B$6+L3)))+EXP(GAMMALN(5+'Read me'!$B$6)-GAMMALN('Read me'!$B$6)-GAMMALN(5+1)+'Read me'!$B$6*LN('Read me'!$B$6/('Read me'!$B$6+L3))+5*LN(L3/('Read me'!$B$6+L3)))),"")</f>
        <v/>
      </c>
      <c r="N3" s="16" t="n">
        <v>0</v>
      </c>
      <c r="O3" s="17">
        <f>IFERROR(1/M3,"")</f>
        <v/>
      </c>
      <c r="P3" s="18" t="n"/>
      <c r="Q3" s="19">
        <f>IF(P3="","",P3*M3-1)</f>
        <v/>
      </c>
      <c r="R3" s="20">
        <f>IF(Q3="","awaiting price",IF(Q3&gt;='Read me'!$B$7,"BET",IF(Q3&gt;=0,"thin","no bet")))</f>
        <v/>
      </c>
    </row>
    <row r="4">
      <c r="A4" s="11" t="n">
        <v>46298</v>
      </c>
      <c r="B4" s="12" t="inlineStr">
        <is>
          <t>Brazil Série B</t>
        </is>
      </c>
      <c r="C4" s="12" t="inlineStr">
        <is>
          <t>Atletico Goianiense v America Mineiro</t>
        </is>
      </c>
      <c r="D4" s="12" t="inlineStr">
        <is>
          <t>Atletico Goianiense</t>
        </is>
      </c>
      <c r="E4" s="12" t="inlineStr">
        <is>
          <t>Home</t>
        </is>
      </c>
      <c r="F4" s="12" t="inlineStr">
        <is>
          <t>6+ team corners</t>
        </is>
      </c>
      <c r="G4" s="12" t="inlineStr">
        <is>
          <t>3+</t>
        </is>
      </c>
      <c r="H4" s="12" t="n">
        <v>7</v>
      </c>
      <c r="I4" s="12" t="inlineStr">
        <is>
          <t>5/5</t>
        </is>
      </c>
      <c r="J4" s="14" t="n">
        <v>6.5</v>
      </c>
      <c r="K4" s="14" t="n">
        <v>6.5</v>
      </c>
      <c r="L4" s="14" t="n">
        <v>6.72</v>
      </c>
      <c r="M4" s="15">
        <f>IFERROR(1-(EXP(GAMMALN(0+'Read me'!$B$6)-GAMMALN('Read me'!$B$6)-GAMMALN(0+1)+'Read me'!$B$6*LN('Read me'!$B$6/('Read me'!$B$6+L4))+0*LN(L4/('Read me'!$B$6+L4)))+EXP(GAMMALN(1+'Read me'!$B$6)-GAMMALN('Read me'!$B$6)-GAMMALN(1+1)+'Read me'!$B$6*LN('Read me'!$B$6/('Read me'!$B$6+L4))+1*LN(L4/('Read me'!$B$6+L4)))+EXP(GAMMALN(2+'Read me'!$B$6)-GAMMALN('Read me'!$B$6)-GAMMALN(2+1)+'Read me'!$B$6*LN('Read me'!$B$6/('Read me'!$B$6+L4))+2*LN(L4/('Read me'!$B$6+L4)))+EXP(GAMMALN(3+'Read me'!$B$6)-GAMMALN('Read me'!$B$6)-GAMMALN(3+1)+'Read me'!$B$6*LN('Read me'!$B$6/('Read me'!$B$6+L4))+3*LN(L4/('Read me'!$B$6+L4)))+EXP(GAMMALN(4+'Read me'!$B$6)-GAMMALN('Read me'!$B$6)-GAMMALN(4+1)+'Read me'!$B$6*LN('Read me'!$B$6/('Read me'!$B$6+L4))+4*LN(L4/('Read me'!$B$6+L4)))+EXP(GAMMALN(5+'Read me'!$B$6)-GAMMALN('Read me'!$B$6)-GAMMALN(5+1)+'Read me'!$B$6*LN('Read me'!$B$6/('Read me'!$B$6+L4))+5*LN(L4/('Read me'!$B$6+L4)))),"")</f>
        <v/>
      </c>
      <c r="N4" s="16" t="n">
        <v>0</v>
      </c>
      <c r="O4" s="17">
        <f>IFERROR(1/M4,"")</f>
        <v/>
      </c>
      <c r="P4" s="18" t="n"/>
      <c r="Q4" s="19">
        <f>IF(P4="","",P4*M4-1)</f>
        <v/>
      </c>
      <c r="R4" s="20">
        <f>IF(Q4="","awaiting price",IF(Q4&gt;='Read me'!$B$7,"BET",IF(Q4&gt;=0,"thin","no bet")))</f>
        <v/>
      </c>
    </row>
    <row r="5">
      <c r="A5" s="11" t="n">
        <v>46298</v>
      </c>
      <c r="B5" s="12" t="inlineStr">
        <is>
          <t>England League One</t>
        </is>
      </c>
      <c r="C5" s="12" t="inlineStr">
        <is>
          <t>Leyton Orient v Plymouth</t>
        </is>
      </c>
      <c r="D5" s="12" t="inlineStr">
        <is>
          <t>Plymouth</t>
        </is>
      </c>
      <c r="E5" s="12" t="inlineStr">
        <is>
          <t>Away</t>
        </is>
      </c>
      <c r="F5" s="12" t="inlineStr">
        <is>
          <t>5+ team corners</t>
        </is>
      </c>
      <c r="G5" s="12" t="inlineStr">
        <is>
          <t>3+</t>
        </is>
      </c>
      <c r="H5" s="12" t="n">
        <v>19</v>
      </c>
      <c r="I5" s="12" t="inlineStr">
        <is>
          <t>5/5</t>
        </is>
      </c>
      <c r="J5" s="14" t="n">
        <v>6.3</v>
      </c>
      <c r="K5" s="14" t="n">
        <v>5.8</v>
      </c>
      <c r="L5" s="14" t="n">
        <v>6.37</v>
      </c>
      <c r="M5" s="15">
        <f>IFERROR(1-(EXP(GAMMALN(0+'Read me'!$B$6)-GAMMALN('Read me'!$B$6)-GAMMALN(0+1)+'Read me'!$B$6*LN('Read me'!$B$6/('Read me'!$B$6+L5))+0*LN(L5/('Read me'!$B$6+L5)))+EXP(GAMMALN(1+'Read me'!$B$6)-GAMMALN('Read me'!$B$6)-GAMMALN(1+1)+'Read me'!$B$6*LN('Read me'!$B$6/('Read me'!$B$6+L5))+1*LN(L5/('Read me'!$B$6+L5)))+EXP(GAMMALN(2+'Read me'!$B$6)-GAMMALN('Read me'!$B$6)-GAMMALN(2+1)+'Read me'!$B$6*LN('Read me'!$B$6/('Read me'!$B$6+L5))+2*LN(L5/('Read me'!$B$6+L5)))+EXP(GAMMALN(3+'Read me'!$B$6)-GAMMALN('Read me'!$B$6)-GAMMALN(3+1)+'Read me'!$B$6*LN('Read me'!$B$6/('Read me'!$B$6+L5))+3*LN(L5/('Read me'!$B$6+L5)))+EXP(GAMMALN(4+'Read me'!$B$6)-GAMMALN('Read me'!$B$6)-GAMMALN(4+1)+'Read me'!$B$6*LN('Read me'!$B$6/('Read me'!$B$6+L5))+4*LN(L5/('Read me'!$B$6+L5)))),"")</f>
        <v/>
      </c>
      <c r="N5" s="16" t="n">
        <v>0</v>
      </c>
      <c r="O5" s="17">
        <f>IFERROR(1/M5,"")</f>
        <v/>
      </c>
      <c r="P5" s="18" t="n"/>
      <c r="Q5" s="19">
        <f>IF(P5="","",P5*M5-1)</f>
        <v/>
      </c>
      <c r="R5" s="20">
        <f>IF(Q5="","awaiting price",IF(Q5&gt;='Read me'!$B$7,"BET",IF(Q5&gt;=0,"thin","no bet")))</f>
        <v/>
      </c>
    </row>
    <row r="6">
      <c r="A6" s="11" t="n">
        <v>46298</v>
      </c>
      <c r="B6" s="12" t="inlineStr">
        <is>
          <t>England League Two</t>
        </is>
      </c>
      <c r="C6" s="12" t="inlineStr">
        <is>
          <t>Salford City v Fleetwood Town</t>
        </is>
      </c>
      <c r="D6" s="12" t="inlineStr">
        <is>
          <t>Salford City</t>
        </is>
      </c>
      <c r="E6" s="12" t="inlineStr">
        <is>
          <t>Home</t>
        </is>
      </c>
      <c r="F6" s="12" t="inlineStr">
        <is>
          <t>5+ team corners</t>
        </is>
      </c>
      <c r="G6" s="12" t="inlineStr">
        <is>
          <t>3+</t>
        </is>
      </c>
      <c r="H6" s="12" t="n">
        <v>18</v>
      </c>
      <c r="I6" s="12" t="inlineStr">
        <is>
          <t>5/5</t>
        </is>
      </c>
      <c r="J6" s="14" t="n">
        <v>6.22</v>
      </c>
      <c r="K6" s="14" t="n">
        <v>5.7</v>
      </c>
      <c r="L6" s="14" t="n">
        <v>6.03</v>
      </c>
      <c r="M6" s="15">
        <f>IFERROR(1-(EXP(GAMMALN(0+'Read me'!$B$6)-GAMMALN('Read me'!$B$6)-GAMMALN(0+1)+'Read me'!$B$6*LN('Read me'!$B$6/('Read me'!$B$6+L6))+0*LN(L6/('Read me'!$B$6+L6)))+EXP(GAMMALN(1+'Read me'!$B$6)-GAMMALN('Read me'!$B$6)-GAMMALN(1+1)+'Read me'!$B$6*LN('Read me'!$B$6/('Read me'!$B$6+L6))+1*LN(L6/('Read me'!$B$6+L6)))+EXP(GAMMALN(2+'Read me'!$B$6)-GAMMALN('Read me'!$B$6)-GAMMALN(2+1)+'Read me'!$B$6*LN('Read me'!$B$6/('Read me'!$B$6+L6))+2*LN(L6/('Read me'!$B$6+L6)))+EXP(GAMMALN(3+'Read me'!$B$6)-GAMMALN('Read me'!$B$6)-GAMMALN(3+1)+'Read me'!$B$6*LN('Read me'!$B$6/('Read me'!$B$6+L6))+3*LN(L6/('Read me'!$B$6+L6)))+EXP(GAMMALN(4+'Read me'!$B$6)-GAMMALN('Read me'!$B$6)-GAMMALN(4+1)+'Read me'!$B$6*LN('Read me'!$B$6/('Read me'!$B$6+L6))+4*LN(L6/('Read me'!$B$6+L6)))),"")</f>
        <v/>
      </c>
      <c r="N6" s="16" t="n">
        <v>0</v>
      </c>
      <c r="O6" s="17">
        <f>IFERROR(1/M6,"")</f>
        <v/>
      </c>
      <c r="P6" s="18" t="n"/>
      <c r="Q6" s="19">
        <f>IF(P6="","",P6*M6-1)</f>
        <v/>
      </c>
      <c r="R6" s="20">
        <f>IF(Q6="","awaiting price",IF(Q6&gt;='Read me'!$B$7,"BET",IF(Q6&gt;=0,"thin","no bet")))</f>
        <v/>
      </c>
    </row>
    <row r="7">
      <c r="A7" s="11" t="n">
        <v>46298</v>
      </c>
      <c r="B7" s="12" t="inlineStr">
        <is>
          <t>England League Two</t>
        </is>
      </c>
      <c r="C7" s="12" t="inlineStr">
        <is>
          <t>Chesterfield v Tranmere</t>
        </is>
      </c>
      <c r="D7" s="12" t="inlineStr">
        <is>
          <t>Chesterfield</t>
        </is>
      </c>
      <c r="E7" s="12" t="inlineStr">
        <is>
          <t>Home</t>
        </is>
      </c>
      <c r="F7" s="12" t="inlineStr">
        <is>
          <t>5+ team corners</t>
        </is>
      </c>
      <c r="G7" s="12" t="inlineStr">
        <is>
          <t>4+</t>
        </is>
      </c>
      <c r="H7" s="12" t="n">
        <v>5</v>
      </c>
      <c r="I7" s="12" t="inlineStr">
        <is>
          <t>5/5</t>
        </is>
      </c>
      <c r="J7" s="14" t="n">
        <v>6</v>
      </c>
      <c r="K7" s="14" t="n">
        <v>5.6</v>
      </c>
      <c r="L7" s="14" t="n">
        <v>5.95</v>
      </c>
      <c r="M7" s="15">
        <f>IFERROR(1-(EXP(GAMMALN(0+'Read me'!$B$6)-GAMMALN('Read me'!$B$6)-GAMMALN(0+1)+'Read me'!$B$6*LN('Read me'!$B$6/('Read me'!$B$6+L7))+0*LN(L7/('Read me'!$B$6+L7)))+EXP(GAMMALN(1+'Read me'!$B$6)-GAMMALN('Read me'!$B$6)-GAMMALN(1+1)+'Read me'!$B$6*LN('Read me'!$B$6/('Read me'!$B$6+L7))+1*LN(L7/('Read me'!$B$6+L7)))+EXP(GAMMALN(2+'Read me'!$B$6)-GAMMALN('Read me'!$B$6)-GAMMALN(2+1)+'Read me'!$B$6*LN('Read me'!$B$6/('Read me'!$B$6+L7))+2*LN(L7/('Read me'!$B$6+L7)))+EXP(GAMMALN(3+'Read me'!$B$6)-GAMMALN('Read me'!$B$6)-GAMMALN(3+1)+'Read me'!$B$6*LN('Read me'!$B$6/('Read me'!$B$6+L7))+3*LN(L7/('Read me'!$B$6+L7)))+EXP(GAMMALN(4+'Read me'!$B$6)-GAMMALN('Read me'!$B$6)-GAMMALN(4+1)+'Read me'!$B$6*LN('Read me'!$B$6/('Read me'!$B$6+L7))+4*LN(L7/('Read me'!$B$6+L7)))),"")</f>
        <v/>
      </c>
      <c r="N7" s="16" t="n">
        <v>0</v>
      </c>
      <c r="O7" s="17">
        <f>IFERROR(1/M7,"")</f>
        <v/>
      </c>
      <c r="P7" s="18" t="n"/>
      <c r="Q7" s="19">
        <f>IF(P7="","",P7*M7-1)</f>
        <v/>
      </c>
      <c r="R7" s="20">
        <f>IF(Q7="","awaiting price",IF(Q7&gt;='Read me'!$B$7,"BET",IF(Q7&gt;=0,"thin","no bet")))</f>
        <v/>
      </c>
    </row>
  </sheetData>
  <autoFilter ref="A1:R7"/>
  <dataValidations count="1">
    <dataValidation sqref="P2:P7" showDropDown="0" showInputMessage="0" showErrorMessage="1" allowBlank="1" errorTitle="Decimal odds" error="Enter decimal odds above 1.00 (e.g. 1.83), not fractional." type="decimal" operator="greaterThan">
      <formul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2026-10-01T10:32:01Z</dcterms:created>
  <dcterms:modified xsi:type="dcterms:W3CDTF">2026-10-01T10:32:01Z</dcterms:modified>
</cp:coreProperties>
</file>