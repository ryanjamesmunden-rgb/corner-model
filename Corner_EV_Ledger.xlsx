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Summary" sheetId="2" state="visible" r:id="rId2"/>
  </sheets>
  <definedNames>
    <definedName name="_xlnm._FilterDatabase" localSheetId="0" hidden="1">'Fixtures'!$A$1:$O$101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"/>
    <numFmt numFmtId="166" formatCode="0.0%"/>
    <numFmt numFmtId="167" formatCode="£#,##0.00"/>
    <numFmt numFmtId="168" formatCode="£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2" fontId="2" fillId="3" borderId="1" pivotButton="0" quotePrefix="0" xfId="0"/>
    <xf numFmtId="166" fontId="3" fillId="0" borderId="1" pivotButton="0" quotePrefix="0" xfId="0"/>
    <xf numFmtId="1" fontId="2" fillId="3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vertical="top" wrapText="1"/>
    </xf>
    <xf numFmtId="167" fontId="3" fillId="0" borderId="1" pivotButton="0" quotePrefix="0" xfId="0"/>
    <xf numFmtId="1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0" borderId="1" pivotButton="0" quotePrefix="0" xfId="0"/>
    <xf numFmtId="168" fontId="2" fillId="3" borderId="1" pivotButton="0" quotePrefix="0" xfId="0"/>
    <xf numFmtId="166" fontId="2" fillId="3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Corner Model</author>
  </authors>
  <commentList>
    <comment ref="H1" authorId="0" shapeId="0">
      <text>
        <t>The only price that matters: what you can ACTUALLY get. EV compares it to Fair odds.</t>
      </text>
    </comment>
    <comment ref="I1" authorId="0" shapeId="0">
      <text>
        <t>= Your odds / Fair odds - 1. Positive means the price beats your model's own number.
This is EV per £1 staked, not just 'edge', because your Fair odds are the break-even price: EV is exactly zero when the two match.</t>
      </text>
    </comment>
    <comment ref="J1" authorId="0" shapeId="0">
      <text>
        <t>Closing price, filled in after the market settles. CLV is the only feedback that arrives fast enough to be useful — results take hundreds of bets to say anything, closing line value tells you within a week whether you are beating the market.</t>
      </text>
    </comment>
    <comment ref="O1" authorId="0" shapeId="0">
      <text>
        <t>Quarter-Kelly stake from the EV and your bankroll, capped. Set bankroll, fraction and cap on the Summary tab. Blank when there is no edge — nothing to stake.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4" customWidth="1" min="3" max="3"/>
    <col width="22" customWidth="1" min="4" max="4"/>
    <col width="7" customWidth="1" min="5" max="5"/>
    <col width="7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58" customWidth="1" min="14" max="14"/>
    <col width="9" customWidth="1" min="15" max="15"/>
    <col hidden="1" width="6" customWidth="1" min="16" max="16"/>
  </cols>
  <sheetData>
    <row r="1" ht="26" customHeight="1">
      <c r="A1" s="1" t="inlineStr">
        <is>
          <t>Date</t>
        </is>
      </c>
      <c r="B1" s="1" t="inlineStr">
        <is>
          <t>League</t>
        </is>
      </c>
      <c r="C1" s="1" t="inlineStr">
        <is>
          <t>Fixture</t>
        </is>
      </c>
      <c r="D1" s="1" t="inlineStr">
        <is>
          <t>Backing</t>
        </is>
      </c>
      <c r="E1" s="1" t="inlineStr">
        <is>
          <t>Proj</t>
        </is>
      </c>
      <c r="F1" s="1" t="inlineStr">
        <is>
          <t>Line</t>
        </is>
      </c>
      <c r="G1" s="1" t="inlineStr">
        <is>
          <t>Fair odds</t>
        </is>
      </c>
      <c r="H1" s="1" t="inlineStr">
        <is>
          <t>Your odds</t>
        </is>
      </c>
      <c r="I1" s="1" t="inlineStr">
        <is>
          <t>EV %</t>
        </is>
      </c>
      <c r="J1" s="1" t="inlineStr">
        <is>
          <t>Closing</t>
        </is>
      </c>
      <c r="K1" s="1" t="inlineStr">
        <is>
          <t>CLV %</t>
        </is>
      </c>
      <c r="L1" s="1" t="inlineStr">
        <is>
          <t>Corners</t>
        </is>
      </c>
      <c r="M1" s="1" t="inlineStr">
        <is>
          <t>Result</t>
        </is>
      </c>
      <c r="N1" s="1" t="inlineStr">
        <is>
          <t>Notes</t>
        </is>
      </c>
      <c r="O1" s="1" t="inlineStr">
        <is>
          <t>Stake £</t>
        </is>
      </c>
      <c r="P1" s="1" t="inlineStr">
        <is>
          <t>_first</t>
        </is>
      </c>
    </row>
    <row r="2">
      <c r="A2" s="2" t="n">
        <v>46259</v>
      </c>
      <c r="B2" s="3" t="inlineStr">
        <is>
          <t>Brazil Serie B</t>
        </is>
      </c>
      <c r="C2" s="3" t="inlineStr">
        <is>
          <t>Atletico GO v Botafogo SP</t>
        </is>
      </c>
      <c r="D2" s="3" t="inlineStr">
        <is>
          <t>Atletico GO</t>
        </is>
      </c>
      <c r="E2" s="4" t="n">
        <v>7.5</v>
      </c>
      <c r="F2" s="3" t="inlineStr">
        <is>
          <t>6+</t>
        </is>
      </c>
      <c r="G2" s="5" t="n">
        <v>1.47</v>
      </c>
      <c r="H2" s="6" t="n">
        <v>1.66</v>
      </c>
      <c r="I2" s="7">
        <f>IF(OR(G2="",H2=""),"",H2/G2-1)</f>
        <v/>
      </c>
      <c r="J2" s="6" t="n"/>
      <c r="K2" s="7">
        <f>IF(OR(H2="",J2=""),"",H2/J2-1)</f>
        <v/>
      </c>
      <c r="L2" s="8" t="n"/>
      <c r="M2" s="9" t="inlineStr">
        <is>
          <t>W</t>
        </is>
      </c>
      <c r="N2" s="10" t="inlineStr">
        <is>
          <t>Price drifted in: taken 1.72, now 1.66</t>
        </is>
      </c>
      <c r="O2" s="11">
        <f>IF(OR(I2="",I2&lt;=0,H2&lt;=1),"",MIN(I2/(H2-1),Summary!$B$32)*Summary!$B$31*Summary!$B$30)</f>
        <v/>
      </c>
      <c r="P2" s="12">
        <f>IF(B2="",0,IF(COUNTIF($B$2:B2,B2)=1,1,0))</f>
        <v/>
      </c>
    </row>
    <row r="3">
      <c r="A3" s="2" t="n">
        <v>46262</v>
      </c>
      <c r="B3" s="3" t="inlineStr">
        <is>
          <t>Spain La Liga</t>
        </is>
      </c>
      <c r="C3" s="3" t="inlineStr">
        <is>
          <t>Alaves v Villarreal</t>
        </is>
      </c>
      <c r="D3" s="3" t="inlineStr">
        <is>
          <t>Alaves</t>
        </is>
      </c>
      <c r="E3" s="4" t="n">
        <v>6.1</v>
      </c>
      <c r="F3" s="3" t="inlineStr">
        <is>
          <t>5+</t>
        </is>
      </c>
      <c r="G3" s="5" t="n">
        <v>1.49</v>
      </c>
      <c r="H3" s="6" t="n">
        <v>1.5</v>
      </c>
      <c r="I3" s="7">
        <f>IF(OR(G3="",H3=""),"",H3/G3-1)</f>
        <v/>
      </c>
      <c r="J3" s="6" t="n"/>
      <c r="K3" s="7">
        <f>IF(OR(H3="",J3=""),"",H3/J3-1)</f>
        <v/>
      </c>
      <c r="L3" s="8" t="n"/>
      <c r="M3" s="9" t="n"/>
      <c r="N3" s="10" t="inlineStr">
        <is>
          <t>6+ also quoted 1.90</t>
        </is>
      </c>
      <c r="O3" s="11">
        <f>IF(OR(I3="",I3&lt;=0,H3&lt;=1),"",MIN(I3/(H3-1),Summary!$B$32)*Summary!$B$31*Summary!$B$30)</f>
        <v/>
      </c>
      <c r="P3" s="12">
        <f>IF(B3="",0,IF(COUNTIF($B$2:B3,B3)=1,1,0))</f>
        <v/>
      </c>
    </row>
    <row r="4">
      <c r="A4" s="2" t="n">
        <v>46262</v>
      </c>
      <c r="B4" s="3" t="inlineStr">
        <is>
          <t>Portugal Primeira Liga</t>
        </is>
      </c>
      <c r="C4" s="3" t="inlineStr">
        <is>
          <t>Rio Ave v Sporting CP</t>
        </is>
      </c>
      <c r="D4" s="3" t="inlineStr">
        <is>
          <t>Sporting CP</t>
        </is>
      </c>
      <c r="E4" s="4" t="n">
        <v>6.4</v>
      </c>
      <c r="F4" s="3" t="inlineStr">
        <is>
          <t>5+</t>
        </is>
      </c>
      <c r="G4" s="5" t="n">
        <v>1.43</v>
      </c>
      <c r="H4" s="6" t="n">
        <v>1.22</v>
      </c>
      <c r="I4" s="7">
        <f>IF(OR(G4="",H4=""),"",H4/G4-1)</f>
        <v/>
      </c>
      <c r="J4" s="6" t="n"/>
      <c r="K4" s="7">
        <f>IF(OR(H4="",J4=""),"",H4/J4-1)</f>
        <v/>
      </c>
      <c r="L4" s="8" t="n"/>
      <c r="M4" s="9" t="n"/>
      <c r="N4" s="10" t="n"/>
      <c r="O4" s="11">
        <f>IF(OR(I4="",I4&lt;=0,H4&lt;=1),"",MIN(I4/(H4-1),Summary!$B$32)*Summary!$B$31*Summary!$B$30)</f>
        <v/>
      </c>
      <c r="P4" s="12">
        <f>IF(B4="",0,IF(COUNTIF($B$2:B4,B4)=1,1,0))</f>
        <v/>
      </c>
    </row>
    <row r="5">
      <c r="A5" s="2" t="n">
        <v>46262</v>
      </c>
      <c r="B5" s="3" t="inlineStr">
        <is>
          <t>Belgium Pro League</t>
        </is>
      </c>
      <c r="C5" s="3" t="inlineStr">
        <is>
          <t>Genk v Beveren</t>
        </is>
      </c>
      <c r="D5" s="3" t="inlineStr">
        <is>
          <t>Genk</t>
        </is>
      </c>
      <c r="E5" s="4" t="n"/>
      <c r="F5" s="3" t="inlineStr">
        <is>
          <t>6+</t>
        </is>
      </c>
      <c r="G5" s="5" t="n">
        <v>2.16</v>
      </c>
      <c r="H5" s="6" t="n">
        <v>2</v>
      </c>
      <c r="I5" s="7">
        <f>IF(OR(G5="",H5=""),"",H5/G5-1)</f>
        <v/>
      </c>
      <c r="J5" s="6" t="n"/>
      <c r="K5" s="7">
        <f>IF(OR(H5="",J5=""),"",H5/J5-1)</f>
        <v/>
      </c>
      <c r="L5" s="8" t="n"/>
      <c r="M5" s="9" t="n"/>
      <c r="N5" s="10" t="inlineStr">
        <is>
          <t>No projection or line written yet</t>
        </is>
      </c>
      <c r="O5" s="11">
        <f>IF(OR(I5="",I5&lt;=0,H5&lt;=1),"",MIN(I5/(H5-1),Summary!$B$32)*Summary!$B$31*Summary!$B$30)</f>
        <v/>
      </c>
      <c r="P5" s="12">
        <f>IF(B5="",0,IF(COUNTIF($B$2:B5,B5)=1,1,0))</f>
        <v/>
      </c>
    </row>
    <row r="6">
      <c r="A6" s="2" t="n">
        <v>46263</v>
      </c>
      <c r="B6" s="3" t="inlineStr">
        <is>
          <t>Italy Serie A</t>
        </is>
      </c>
      <c r="C6" s="3" t="inlineStr">
        <is>
          <t>Juventus v Parma</t>
        </is>
      </c>
      <c r="D6" s="3" t="inlineStr">
        <is>
          <t>Juventus</t>
        </is>
      </c>
      <c r="E6" s="4" t="n">
        <v>7.1</v>
      </c>
      <c r="F6" s="3" t="inlineStr">
        <is>
          <t>6+</t>
        </is>
      </c>
      <c r="G6" s="5" t="n">
        <v>1.53</v>
      </c>
      <c r="H6" s="6" t="n">
        <v>1.36</v>
      </c>
      <c r="I6" s="7">
        <f>IF(OR(G6="",H6=""),"",H6/G6-1)</f>
        <v/>
      </c>
      <c r="J6" s="6" t="n"/>
      <c r="K6" s="7">
        <f>IF(OR(H6="",J6=""),"",H6/J6-1)</f>
        <v/>
      </c>
      <c r="L6" s="8" t="n"/>
      <c r="M6" s="9" t="n"/>
      <c r="N6" s="10" t="n"/>
      <c r="O6" s="11">
        <f>IF(OR(I6="",I6&lt;=0,H6&lt;=1),"",MIN(I6/(H6-1),Summary!$B$32)*Summary!$B$31*Summary!$B$30)</f>
        <v/>
      </c>
      <c r="P6" s="12">
        <f>IF(B6="",0,IF(COUNTIF($B$2:B6,B6)=1,1,0))</f>
        <v/>
      </c>
    </row>
    <row r="7">
      <c r="A7" s="2" t="n">
        <v>46263</v>
      </c>
      <c r="B7" s="3" t="inlineStr">
        <is>
          <t>Italy Serie A</t>
        </is>
      </c>
      <c r="C7" s="3" t="inlineStr">
        <is>
          <t>Fiorentina v Fros</t>
        </is>
      </c>
      <c r="D7" s="3" t="inlineStr">
        <is>
          <t>Fiorentina</t>
        </is>
      </c>
      <c r="E7" s="4" t="n">
        <v>8.5</v>
      </c>
      <c r="F7" s="3" t="inlineStr">
        <is>
          <t>8+</t>
        </is>
      </c>
      <c r="G7" s="5" t="n">
        <v>1.78</v>
      </c>
      <c r="H7" s="6" t="n">
        <v>3.75</v>
      </c>
      <c r="I7" s="7">
        <f>IF(OR(G7="",H7=""),"",H7/G7-1)</f>
        <v/>
      </c>
      <c r="J7" s="6" t="n"/>
      <c r="K7" s="7">
        <f>IF(OR(H7="",J7=""),"",H7/J7-1)</f>
        <v/>
      </c>
      <c r="L7" s="8" t="n"/>
      <c r="M7" s="9" t="n"/>
      <c r="N7" s="10" t="inlineStr">
        <is>
          <t>Also 3+ FHC 1.90, 3+ SHC 1.72. Opponent conceded 9 first-half corners v Juventus last week</t>
        </is>
      </c>
      <c r="O7" s="11">
        <f>IF(OR(I7="",I7&lt;=0,H7&lt;=1),"",MIN(I7/(H7-1),Summary!$B$32)*Summary!$B$31*Summary!$B$30)</f>
        <v/>
      </c>
      <c r="P7" s="12">
        <f>IF(B7="",0,IF(COUNTIF($B$2:B7,B7)=1,1,0))</f>
        <v/>
      </c>
    </row>
    <row r="8">
      <c r="A8" s="2" t="n">
        <v>46263</v>
      </c>
      <c r="B8" s="3" t="inlineStr">
        <is>
          <t>France Ligue 1</t>
        </is>
      </c>
      <c r="C8" s="3" t="inlineStr">
        <is>
          <t>Lyon v Le Havre</t>
        </is>
      </c>
      <c r="D8" s="3" t="inlineStr">
        <is>
          <t>Lyon</t>
        </is>
      </c>
      <c r="E8" s="4" t="n">
        <v>6.5</v>
      </c>
      <c r="F8" s="3" t="inlineStr">
        <is>
          <t>5+</t>
        </is>
      </c>
      <c r="G8" s="5" t="n">
        <v>1.41</v>
      </c>
      <c r="H8" s="6" t="n">
        <v>1.28</v>
      </c>
      <c r="I8" s="7">
        <f>IF(OR(G8="",H8=""),"",H8/G8-1)</f>
        <v/>
      </c>
      <c r="J8" s="6" t="n"/>
      <c r="K8" s="7">
        <f>IF(OR(H8="",J8=""),"",H8/J8-1)</f>
        <v/>
      </c>
      <c r="L8" s="8" t="n"/>
      <c r="M8" s="9" t="n"/>
      <c r="N8" s="10" t="inlineStr">
        <is>
          <t>7+ also quoted 1.83</t>
        </is>
      </c>
      <c r="O8" s="11">
        <f>IF(OR(I8="",I8&lt;=0,H8&lt;=1),"",MIN(I8/(H8-1),Summary!$B$32)*Summary!$B$31*Summary!$B$30)</f>
        <v/>
      </c>
      <c r="P8" s="12">
        <f>IF(B8="",0,IF(COUNTIF($B$2:B8,B8)=1,1,0))</f>
        <v/>
      </c>
    </row>
    <row r="9">
      <c r="A9" s="2" t="n">
        <v>46263</v>
      </c>
      <c r="B9" s="3" t="inlineStr">
        <is>
          <t>Germany Bundesliga</t>
        </is>
      </c>
      <c r="C9" s="3" t="inlineStr">
        <is>
          <t>Borussia Dortmund v Hamburger SV</t>
        </is>
      </c>
      <c r="D9" s="3" t="inlineStr">
        <is>
          <t>Borussia Dortmund</t>
        </is>
      </c>
      <c r="E9" s="4" t="n">
        <v>7.2</v>
      </c>
      <c r="F9" s="3" t="inlineStr">
        <is>
          <t>6+</t>
        </is>
      </c>
      <c r="G9" s="5" t="n">
        <v>1.51</v>
      </c>
      <c r="H9" s="6" t="n">
        <v>1.44</v>
      </c>
      <c r="I9" s="7">
        <f>IF(OR(G9="",H9=""),"",H9/G9-1)</f>
        <v/>
      </c>
      <c r="J9" s="6" t="n"/>
      <c r="K9" s="7">
        <f>IF(OR(H9="",J9=""),"",H9/J9-1)</f>
        <v/>
      </c>
      <c r="L9" s="8" t="n"/>
      <c r="M9" s="9" t="n"/>
      <c r="N9" s="10" t="n"/>
      <c r="O9" s="11">
        <f>IF(OR(I9="",I9&lt;=0,H9&lt;=1),"",MIN(I9/(H9-1),Summary!$B$32)*Summary!$B$31*Summary!$B$30)</f>
        <v/>
      </c>
      <c r="P9" s="12">
        <f>IF(B9="",0,IF(COUNTIF($B$2:B9,B9)=1,1,0))</f>
        <v/>
      </c>
    </row>
    <row r="10">
      <c r="A10" s="2" t="n">
        <v>46263</v>
      </c>
      <c r="B10" s="3" t="inlineStr">
        <is>
          <t>Germany Bundesliga</t>
        </is>
      </c>
      <c r="C10" s="3" t="inlineStr">
        <is>
          <t>RB Leipzig v Monchengladbach</t>
        </is>
      </c>
      <c r="D10" s="3" t="inlineStr">
        <is>
          <t>RB Leipzig</t>
        </is>
      </c>
      <c r="E10" s="4" t="n">
        <v>5.7</v>
      </c>
      <c r="F10" s="3" t="inlineStr">
        <is>
          <t>5+</t>
        </is>
      </c>
      <c r="G10" s="5" t="n">
        <v>1.6</v>
      </c>
      <c r="H10" s="6" t="n">
        <v>1.36</v>
      </c>
      <c r="I10" s="7">
        <f>IF(OR(G10="",H10=""),"",H10/G10-1)</f>
        <v/>
      </c>
      <c r="J10" s="6" t="n"/>
      <c r="K10" s="7">
        <f>IF(OR(H10="",J10=""),"",H10/J10-1)</f>
        <v/>
      </c>
      <c r="L10" s="8" t="n"/>
      <c r="M10" s="9" t="n"/>
      <c r="N10" s="10" t="n"/>
      <c r="O10" s="11">
        <f>IF(OR(I10="",I10&lt;=0,H10&lt;=1),"",MIN(I10/(H10-1),Summary!$B$32)*Summary!$B$31*Summary!$B$30)</f>
        <v/>
      </c>
      <c r="P10" s="12">
        <f>IF(B10="",0,IF(COUNTIF($B$2:B10,B10)=1,1,0))</f>
        <v/>
      </c>
    </row>
    <row r="11">
      <c r="A11" s="2" t="n">
        <v>46263</v>
      </c>
      <c r="B11" s="3" t="inlineStr">
        <is>
          <t>Germany Bundesliga 2</t>
        </is>
      </c>
      <c r="C11" s="3" t="inlineStr">
        <is>
          <t>Energie Cottbus v SpVgg</t>
        </is>
      </c>
      <c r="D11" s="3" t="inlineStr">
        <is>
          <t>Energie Cottbus</t>
        </is>
      </c>
      <c r="E11" s="4" t="n">
        <v>6.2</v>
      </c>
      <c r="F11" s="3" t="inlineStr">
        <is>
          <t>5+</t>
        </is>
      </c>
      <c r="G11" s="5" t="n">
        <v>1.58</v>
      </c>
      <c r="H11" s="6" t="n">
        <v>1.72</v>
      </c>
      <c r="I11" s="7">
        <f>IF(OR(G11="",H11=""),"",H11/G11-1)</f>
        <v/>
      </c>
      <c r="J11" s="6" t="n"/>
      <c r="K11" s="7">
        <f>IF(OR(H11="",J11=""),"",H11/J11-1)</f>
        <v/>
      </c>
      <c r="L11" s="8" t="n"/>
      <c r="M11" s="9" t="n"/>
      <c r="N11" s="10" t="inlineStr">
        <is>
          <t>Projection revised 5.8 -&gt; 6.2. Marked OVERS!</t>
        </is>
      </c>
      <c r="O11" s="11">
        <f>IF(OR(I11="",I11&lt;=0,H11&lt;=1),"",MIN(I11/(H11-1),Summary!$B$32)*Summary!$B$31*Summary!$B$30)</f>
        <v/>
      </c>
      <c r="P11" s="12">
        <f>IF(B11="",0,IF(COUNTIF($B$2:B11,B11)=1,1,0))</f>
        <v/>
      </c>
    </row>
    <row r="12">
      <c r="A12" s="2" t="n">
        <v>46263</v>
      </c>
      <c r="B12" s="3" t="inlineStr">
        <is>
          <t>Germany Bundesliga 2</t>
        </is>
      </c>
      <c r="C12" s="3" t="inlineStr">
        <is>
          <t>Energie Cottbus v SpVgg</t>
        </is>
      </c>
      <c r="D12" s="3" t="inlineStr">
        <is>
          <t>Over 9.5 Asian Corners</t>
        </is>
      </c>
      <c r="E12" s="4" t="n"/>
      <c r="F12" s="3" t="n"/>
      <c r="G12" s="5" t="n"/>
      <c r="H12" s="6" t="n">
        <v>1.83</v>
      </c>
      <c r="I12" s="7">
        <f>IF(OR(G12="",H12=""),"",H12/G12-1)</f>
        <v/>
      </c>
      <c r="J12" s="6" t="n"/>
      <c r="K12" s="7">
        <f>IF(OR(H12="",J12=""),"",H12/J12-1)</f>
        <v/>
      </c>
      <c r="L12" s="8" t="n"/>
      <c r="M12" s="9" t="n"/>
      <c r="N12" s="10" t="inlineStr">
        <is>
          <t>Second bet on the same fixture — no fair odds written, so no EV</t>
        </is>
      </c>
      <c r="O12" s="11">
        <f>IF(OR(I12="",I12&lt;=0,H12&lt;=1),"",MIN(I12/(H12-1),Summary!$B$32)*Summary!$B$31*Summary!$B$30)</f>
        <v/>
      </c>
      <c r="P12" s="12">
        <f>IF(B12="",0,IF(COUNTIF($B$2:B12,B12)=1,1,0))</f>
        <v/>
      </c>
    </row>
    <row r="13">
      <c r="A13" s="2" t="n">
        <v>46263</v>
      </c>
      <c r="B13" s="3" t="inlineStr">
        <is>
          <t>England Championship</t>
        </is>
      </c>
      <c r="C13" s="3" t="inlineStr">
        <is>
          <t>Cardiff v Sheff Utd</t>
        </is>
      </c>
      <c r="D13" s="3" t="inlineStr">
        <is>
          <t>Cardiff</t>
        </is>
      </c>
      <c r="E13" s="4" t="n">
        <v>7.2</v>
      </c>
      <c r="F13" s="3" t="inlineStr">
        <is>
          <t>6+</t>
        </is>
      </c>
      <c r="G13" s="5" t="n">
        <v>1.51</v>
      </c>
      <c r="H13" s="6" t="n">
        <v>1.57</v>
      </c>
      <c r="I13" s="7">
        <f>IF(OR(G13="",H13=""),"",H13/G13-1)</f>
        <v/>
      </c>
      <c r="J13" s="6" t="n"/>
      <c r="K13" s="7">
        <f>IF(OR(H13="",J13=""),"",H13/J13-1)</f>
        <v/>
      </c>
      <c r="L13" s="8" t="n"/>
      <c r="M13" s="9" t="n"/>
      <c r="N13" s="10" t="inlineStr">
        <is>
          <t>Cardiff 8.0 won / Sheff Utd 6.9 conceded</t>
        </is>
      </c>
      <c r="O13" s="11">
        <f>IF(OR(I13="",I13&lt;=0,H13&lt;=1),"",MIN(I13/(H13-1),Summary!$B$32)*Summary!$B$31*Summary!$B$30)</f>
        <v/>
      </c>
      <c r="P13" s="12">
        <f>IF(B13="",0,IF(COUNTIF($B$2:B13,B13)=1,1,0))</f>
        <v/>
      </c>
    </row>
    <row r="14">
      <c r="A14" s="2" t="n">
        <v>46263</v>
      </c>
      <c r="B14" s="3" t="inlineStr">
        <is>
          <t>England League One</t>
        </is>
      </c>
      <c r="C14" s="3" t="inlineStr">
        <is>
          <t>Sheff Wed v Bromley</t>
        </is>
      </c>
      <c r="D14" s="3" t="inlineStr">
        <is>
          <t>Sheff Wed</t>
        </is>
      </c>
      <c r="E14" s="4" t="n">
        <v>7.9</v>
      </c>
      <c r="F14" s="3" t="inlineStr">
        <is>
          <t>7+</t>
        </is>
      </c>
      <c r="G14" s="5" t="n">
        <v>1.63</v>
      </c>
      <c r="H14" s="6" t="n">
        <v>1.9</v>
      </c>
      <c r="I14" s="7">
        <f>IF(OR(G14="",H14=""),"",H14/G14-1)</f>
        <v/>
      </c>
      <c r="J14" s="6" t="n"/>
      <c r="K14" s="7">
        <f>IF(OR(H14="",J14=""),"",H14/J14-1)</f>
        <v/>
      </c>
      <c r="L14" s="8" t="n"/>
      <c r="M14" s="9" t="n"/>
      <c r="N14" s="10" t="inlineStr">
        <is>
          <t>Sheff Wed 7.5 won / Bromley 8.5 conceded</t>
        </is>
      </c>
      <c r="O14" s="11">
        <f>IF(OR(I14="",I14&lt;=0,H14&lt;=1),"",MIN(I14/(H14-1),Summary!$B$32)*Summary!$B$31*Summary!$B$30)</f>
        <v/>
      </c>
      <c r="P14" s="12">
        <f>IF(B14="",0,IF(COUNTIF($B$2:B14,B14)=1,1,0))</f>
        <v/>
      </c>
    </row>
    <row r="15">
      <c r="A15" s="2" t="n">
        <v>46263</v>
      </c>
      <c r="B15" s="3" t="inlineStr">
        <is>
          <t>England League One</t>
        </is>
      </c>
      <c r="C15" s="3" t="inlineStr">
        <is>
          <t>Stockport v Wycombe</t>
        </is>
      </c>
      <c r="D15" s="3" t="inlineStr">
        <is>
          <t>Stockport</t>
        </is>
      </c>
      <c r="E15" s="4" t="n">
        <v>6.9</v>
      </c>
      <c r="F15" s="3" t="inlineStr">
        <is>
          <t>6+</t>
        </is>
      </c>
      <c r="G15" s="5" t="n">
        <v>1.6</v>
      </c>
      <c r="H15" s="6" t="n">
        <v>1.57</v>
      </c>
      <c r="I15" s="7">
        <f>IF(OR(G15="",H15=""),"",H15/G15-1)</f>
        <v/>
      </c>
      <c r="J15" s="6" t="n"/>
      <c r="K15" s="7">
        <f>IF(OR(H15="",J15=""),"",H15/J15-1)</f>
        <v/>
      </c>
      <c r="L15" s="8" t="n"/>
      <c r="M15" s="9" t="n"/>
      <c r="N15" s="10" t="inlineStr">
        <is>
          <t>Stockport 6.3 won / Wycombe 5.7 conceded</t>
        </is>
      </c>
      <c r="O15" s="11">
        <f>IF(OR(I15="",I15&lt;=0,H15&lt;=1),"",MIN(I15/(H15-1),Summary!$B$32)*Summary!$B$31*Summary!$B$30)</f>
        <v/>
      </c>
      <c r="P15" s="12">
        <f>IF(B15="",0,IF(COUNTIF($B$2:B15,B15)=1,1,0))</f>
        <v/>
      </c>
    </row>
    <row r="16">
      <c r="A16" s="2" t="n">
        <v>46263</v>
      </c>
      <c r="B16" s="3" t="inlineStr">
        <is>
          <t>England League One</t>
        </is>
      </c>
      <c r="C16" s="3" t="inlineStr">
        <is>
          <t>Leyton Orient v Barnsley</t>
        </is>
      </c>
      <c r="D16" s="3" t="inlineStr">
        <is>
          <t>Leyton Orient</t>
        </is>
      </c>
      <c r="E16" s="4" t="n">
        <v>6.1</v>
      </c>
      <c r="F16" s="3" t="inlineStr">
        <is>
          <t>5+</t>
        </is>
      </c>
      <c r="G16" s="5" t="n">
        <v>1.49</v>
      </c>
      <c r="H16" s="6" t="n">
        <v>1.57</v>
      </c>
      <c r="I16" s="7">
        <f>IF(OR(G16="",H16=""),"",H16/G16-1)</f>
        <v/>
      </c>
      <c r="J16" s="6" t="n"/>
      <c r="K16" s="7">
        <f>IF(OR(H16="",J16=""),"",H16/J16-1)</f>
        <v/>
      </c>
      <c r="L16" s="8" t="n"/>
      <c r="M16" s="9" t="n"/>
      <c r="N16" s="10" t="inlineStr">
        <is>
          <t>Orient 4.6 won / Barnsley 6.1 conceded</t>
        </is>
      </c>
      <c r="O16" s="11">
        <f>IF(OR(I16="",I16&lt;=0,H16&lt;=1),"",MIN(I16/(H16-1),Summary!$B$32)*Summary!$B$31*Summary!$B$30)</f>
        <v/>
      </c>
      <c r="P16" s="12">
        <f>IF(B16="",0,IF(COUNTIF($B$2:B16,B16)=1,1,0))</f>
        <v/>
      </c>
    </row>
    <row r="17">
      <c r="A17" s="2" t="n">
        <v>46263</v>
      </c>
      <c r="B17" s="3" t="inlineStr">
        <is>
          <t>England League Two</t>
        </is>
      </c>
      <c r="C17" s="3" t="inlineStr">
        <is>
          <t>York v Exeter</t>
        </is>
      </c>
      <c r="D17" s="3" t="inlineStr">
        <is>
          <t>Exeter</t>
        </is>
      </c>
      <c r="E17" s="4" t="n">
        <v>5.5</v>
      </c>
      <c r="F17" s="3" t="inlineStr">
        <is>
          <t>4+</t>
        </is>
      </c>
      <c r="G17" s="5" t="n">
        <v>1.36</v>
      </c>
      <c r="H17" s="6" t="n">
        <v>1.53</v>
      </c>
      <c r="I17" s="7">
        <f>IF(OR(G17="",H17=""),"",H17/G17-1)</f>
        <v/>
      </c>
      <c r="J17" s="6" t="n"/>
      <c r="K17" s="7">
        <f>IF(OR(H17="",J17=""),"",H17/J17-1)</f>
        <v/>
      </c>
      <c r="L17" s="8" t="n"/>
      <c r="M17" s="9" t="n"/>
      <c r="N17" s="10" t="inlineStr">
        <is>
          <t>Date assumed 29/08. 5+ quoted 2.10, ticked. York 5.5 / Exeter 6.0</t>
        </is>
      </c>
      <c r="O17" s="11">
        <f>IF(OR(I17="",I17&lt;=0,H17&lt;=1),"",MIN(I17/(H17-1),Summary!$B$32)*Summary!$B$31*Summary!$B$30)</f>
        <v/>
      </c>
      <c r="P17" s="12">
        <f>IF(B17="",0,IF(COUNTIF($B$2:B17,B17)=1,1,0))</f>
        <v/>
      </c>
    </row>
    <row r="18">
      <c r="A18" s="2" t="n">
        <v>46263</v>
      </c>
      <c r="B18" s="3" t="inlineStr">
        <is>
          <t>England League Two</t>
        </is>
      </c>
      <c r="C18" s="3" t="inlineStr">
        <is>
          <t>Rotherham v Chesterfield</t>
        </is>
      </c>
      <c r="D18" s="3" t="inlineStr">
        <is>
          <t>Chesterfield</t>
        </is>
      </c>
      <c r="E18" s="4" t="n">
        <v>6.4</v>
      </c>
      <c r="F18" s="3" t="inlineStr">
        <is>
          <t>5+</t>
        </is>
      </c>
      <c r="G18" s="5" t="n">
        <v>1.43</v>
      </c>
      <c r="H18" s="6" t="n">
        <v>1.72</v>
      </c>
      <c r="I18" s="7">
        <f>IF(OR(G18="",H18=""),"",H18/G18-1)</f>
        <v/>
      </c>
      <c r="J18" s="6" t="n"/>
      <c r="K18" s="7">
        <f>IF(OR(H18="",J18=""),"",H18/J18-1)</f>
        <v/>
      </c>
      <c r="L18" s="8" t="n"/>
      <c r="M18" s="9" t="n"/>
      <c r="N18" s="10" t="inlineStr">
        <is>
          <t>Date assumed 29/08. Rotherham 7.0 / Chesterfield 5.7</t>
        </is>
      </c>
      <c r="O18" s="11">
        <f>IF(OR(I18="",I18&lt;=0,H18&lt;=1),"",MIN(I18/(H18-1),Summary!$B$32)*Summary!$B$31*Summary!$B$30)</f>
        <v/>
      </c>
      <c r="P18" s="12">
        <f>IF(B18="",0,IF(COUNTIF($B$2:B18,B18)=1,1,0))</f>
        <v/>
      </c>
    </row>
    <row r="19">
      <c r="A19" s="2" t="n">
        <v>46263</v>
      </c>
      <c r="B19" s="3" t="inlineStr">
        <is>
          <t>England League Two</t>
        </is>
      </c>
      <c r="C19" s="3" t="inlineStr">
        <is>
          <t>Colchester v Rochdale</t>
        </is>
      </c>
      <c r="D19" s="3" t="inlineStr">
        <is>
          <t>Colchester</t>
        </is>
      </c>
      <c r="E19" s="4" t="n">
        <v>5.6</v>
      </c>
      <c r="F19" s="3" t="inlineStr">
        <is>
          <t>5+</t>
        </is>
      </c>
      <c r="G19" s="5" t="n">
        <v>1.63</v>
      </c>
      <c r="H19" s="6" t="n">
        <v>1.66</v>
      </c>
      <c r="I19" s="7">
        <f>IF(OR(G19="",H19=""),"",H19/G19-1)</f>
        <v/>
      </c>
      <c r="J19" s="6" t="n"/>
      <c r="K19" s="7">
        <f>IF(OR(H19="",J19=""),"",H19/J19-1)</f>
        <v/>
      </c>
      <c r="L19" s="8" t="n"/>
      <c r="M19" s="9" t="n"/>
      <c r="N19" s="10" t="inlineStr">
        <is>
          <t>Date assumed 29/08. Colchester 5.2 / Rochdale 6.0</t>
        </is>
      </c>
      <c r="O19" s="11">
        <f>IF(OR(I19="",I19&lt;=0,H19&lt;=1),"",MIN(I19/(H19-1),Summary!$B$32)*Summary!$B$31*Summary!$B$30)</f>
        <v/>
      </c>
      <c r="P19" s="12">
        <f>IF(B19="",0,IF(COUNTIF($B$2:B19,B19)=1,1,0))</f>
        <v/>
      </c>
    </row>
    <row r="20">
      <c r="A20" s="2" t="n">
        <v>46263</v>
      </c>
      <c r="B20" s="3" t="inlineStr">
        <is>
          <t>England League Two</t>
        </is>
      </c>
      <c r="C20" s="3" t="inlineStr">
        <is>
          <t>Newport County v Tranmere</t>
        </is>
      </c>
      <c r="D20" s="3" t="inlineStr">
        <is>
          <t>Newport County</t>
        </is>
      </c>
      <c r="E20" s="4" t="n">
        <v>6.2</v>
      </c>
      <c r="F20" s="3" t="inlineStr">
        <is>
          <t>5+</t>
        </is>
      </c>
      <c r="G20" s="5" t="n">
        <v>1.47</v>
      </c>
      <c r="H20" s="6" t="n">
        <v>1.72</v>
      </c>
      <c r="I20" s="7">
        <f>IF(OR(G20="",H20=""),"",H20/G20-1)</f>
        <v/>
      </c>
      <c r="J20" s="6" t="n"/>
      <c r="K20" s="7">
        <f>IF(OR(H20="",J20=""),"",H20/J20-1)</f>
        <v/>
      </c>
      <c r="L20" s="8" t="n"/>
      <c r="M20" s="9" t="n"/>
      <c r="N20" s="10" t="inlineStr">
        <is>
          <t>Date assumed 29/08. Market N/A. Newport 5.15 / Tranmere 5.9</t>
        </is>
      </c>
      <c r="O20" s="11">
        <f>IF(OR(I20="",I20&lt;=0,H20&lt;=1),"",MIN(I20/(H20-1),Summary!$B$32)*Summary!$B$31*Summary!$B$30)</f>
        <v/>
      </c>
      <c r="P20" s="12">
        <f>IF(B20="",0,IF(COUNTIF($B$2:B20,B20)=1,1,0))</f>
        <v/>
      </c>
    </row>
    <row r="21">
      <c r="A21" s="2" t="n">
        <v>46263</v>
      </c>
      <c r="B21" s="3" t="inlineStr">
        <is>
          <t>Belgium Pro League</t>
        </is>
      </c>
      <c r="C21" s="3" t="inlineStr">
        <is>
          <t>Kortrijk v Charleroi</t>
        </is>
      </c>
      <c r="D21" s="3" t="inlineStr">
        <is>
          <t>Charleroi</t>
        </is>
      </c>
      <c r="E21" s="4" t="n">
        <v>7.6</v>
      </c>
      <c r="F21" s="3" t="inlineStr">
        <is>
          <t>7+</t>
        </is>
      </c>
      <c r="G21" s="5" t="n">
        <v>1.71</v>
      </c>
      <c r="H21" s="6" t="n">
        <v>3.75</v>
      </c>
      <c r="I21" s="7">
        <f>IF(OR(G21="",H21=""),"",H21/G21-1)</f>
        <v/>
      </c>
      <c r="J21" s="6" t="n"/>
      <c r="K21" s="7">
        <f>IF(OR(H21="",J21=""),"",H21/J21-1)</f>
        <v/>
      </c>
      <c r="L21" s="8" t="n"/>
      <c r="M21" s="9" t="n"/>
      <c r="N21" s="10" t="n"/>
      <c r="O21" s="11">
        <f>IF(OR(I21="",I21&lt;=0,H21&lt;=1),"",MIN(I21/(H21-1),Summary!$B$32)*Summary!$B$31*Summary!$B$30)</f>
        <v/>
      </c>
      <c r="P21" s="12">
        <f>IF(B21="",0,IF(COUNTIF($B$2:B21,B21)=1,1,0))</f>
        <v/>
      </c>
    </row>
    <row r="22">
      <c r="A22" s="2" t="n">
        <v>46263</v>
      </c>
      <c r="B22" s="3" t="inlineStr">
        <is>
          <t>Belgium Pro League</t>
        </is>
      </c>
      <c r="C22" s="3" t="inlineStr">
        <is>
          <t>Lommel v Cercle Brugge</t>
        </is>
      </c>
      <c r="D22" s="3" t="inlineStr">
        <is>
          <t>Cercle Brugge</t>
        </is>
      </c>
      <c r="E22" s="4" t="n">
        <v>7.7</v>
      </c>
      <c r="F22" s="3" t="inlineStr">
        <is>
          <t>7+</t>
        </is>
      </c>
      <c r="G22" s="5" t="n">
        <v>1.7</v>
      </c>
      <c r="H22" s="6" t="n">
        <v>1.61</v>
      </c>
      <c r="I22" s="7">
        <f>IF(OR(G22="",H22=""),"",H22/G22-1)</f>
        <v/>
      </c>
      <c r="J22" s="6" t="n"/>
      <c r="K22" s="7">
        <f>IF(OR(H22="",J22=""),"",H22/J22-1)</f>
        <v/>
      </c>
      <c r="L22" s="8" t="n"/>
      <c r="M22" s="9" t="n"/>
      <c r="N22" s="10" t="inlineStr">
        <is>
          <t>Home arrow noted against Lommel</t>
        </is>
      </c>
      <c r="O22" s="11">
        <f>IF(OR(I22="",I22&lt;=0,H22&lt;=1),"",MIN(I22/(H22-1),Summary!$B$32)*Summary!$B$31*Summary!$B$30)</f>
        <v/>
      </c>
      <c r="P22" s="12">
        <f>IF(B22="",0,IF(COUNTIF($B$2:B22,B22)=1,1,0))</f>
        <v/>
      </c>
    </row>
    <row r="23">
      <c r="A23" s="2" t="n">
        <v>46263</v>
      </c>
      <c r="B23" s="3" t="inlineStr">
        <is>
          <t>Belgium Pro League</t>
        </is>
      </c>
      <c r="C23" s="3" t="inlineStr">
        <is>
          <t>OH Leuven v Standard Liege</t>
        </is>
      </c>
      <c r="D23" s="3" t="inlineStr">
        <is>
          <t>Standard Liege</t>
        </is>
      </c>
      <c r="E23" s="4" t="n">
        <v>6.4</v>
      </c>
      <c r="F23" s="3" t="inlineStr">
        <is>
          <t>5+</t>
        </is>
      </c>
      <c r="G23" s="5" t="n">
        <v>1.44</v>
      </c>
      <c r="H23" s="6" t="n">
        <v>1.66</v>
      </c>
      <c r="I23" s="7">
        <f>IF(OR(G23="",H23=""),"",H23/G23-1)</f>
        <v/>
      </c>
      <c r="J23" s="6" t="n"/>
      <c r="K23" s="7">
        <f>IF(OR(H23="",J23=""),"",H23/J23-1)</f>
        <v/>
      </c>
      <c r="L23" s="8" t="n"/>
      <c r="M23" s="9" t="n"/>
      <c r="N23" s="10" t="n"/>
      <c r="O23" s="11">
        <f>IF(OR(I23="",I23&lt;=0,H23&lt;=1),"",MIN(I23/(H23-1),Summary!$B$32)*Summary!$B$31*Summary!$B$30)</f>
        <v/>
      </c>
      <c r="P23" s="12">
        <f>IF(B23="",0,IF(COUNTIF($B$2:B23,B23)=1,1,0))</f>
        <v/>
      </c>
    </row>
    <row r="24">
      <c r="A24" s="2" t="n">
        <v>46263</v>
      </c>
      <c r="B24" s="3" t="inlineStr">
        <is>
          <t>Scotland Premiership</t>
        </is>
      </c>
      <c r="C24" s="3" t="inlineStr">
        <is>
          <t>Celtic v Falkirk</t>
        </is>
      </c>
      <c r="D24" s="3" t="inlineStr">
        <is>
          <t>Celtic</t>
        </is>
      </c>
      <c r="E24" s="4" t="n">
        <v>6.9</v>
      </c>
      <c r="F24" s="3" t="inlineStr">
        <is>
          <t>6+</t>
        </is>
      </c>
      <c r="G24" s="5" t="n">
        <v>1.6</v>
      </c>
      <c r="H24" s="6" t="n">
        <v>1.22</v>
      </c>
      <c r="I24" s="7">
        <f>IF(OR(G24="",H24=""),"",H24/G24-1)</f>
        <v/>
      </c>
      <c r="J24" s="6" t="n"/>
      <c r="K24" s="7">
        <f>IF(OR(H24="",J24=""),"",H24/J24-1)</f>
        <v/>
      </c>
      <c r="L24" s="8" t="n"/>
      <c r="M24" s="9" t="n"/>
      <c r="N24" s="10" t="inlineStr">
        <is>
          <t>Crossed out - no value at 1.22</t>
        </is>
      </c>
      <c r="O24" s="11">
        <f>IF(OR(I24="",I24&lt;=0,H24&lt;=1),"",MIN(I24/(H24-1),Summary!$B$32)*Summary!$B$31*Summary!$B$30)</f>
        <v/>
      </c>
      <c r="P24" s="12">
        <f>IF(B24="",0,IF(COUNTIF($B$2:B24,B24)=1,1,0))</f>
        <v/>
      </c>
    </row>
    <row r="25">
      <c r="A25" s="2" t="n">
        <v>46263</v>
      </c>
      <c r="B25" s="3" t="inlineStr">
        <is>
          <t>Turkey Super Lig</t>
        </is>
      </c>
      <c r="C25" s="3" t="inlineStr">
        <is>
          <t>Galatasaray v Goztepe</t>
        </is>
      </c>
      <c r="D25" s="3" t="inlineStr">
        <is>
          <t>Galatasaray</t>
        </is>
      </c>
      <c r="E25" s="4" t="n">
        <v>6.7</v>
      </c>
      <c r="F25" s="3" t="inlineStr">
        <is>
          <t>6+</t>
        </is>
      </c>
      <c r="G25" s="5" t="n">
        <v>1.65</v>
      </c>
      <c r="H25" s="6" t="n">
        <v>1.66</v>
      </c>
      <c r="I25" s="7">
        <f>IF(OR(G25="",H25=""),"",H25/G25-1)</f>
        <v/>
      </c>
      <c r="J25" s="6" t="n"/>
      <c r="K25" s="7">
        <f>IF(OR(H25="",J25=""),"",H25/J25-1)</f>
        <v/>
      </c>
      <c r="L25" s="8" t="n"/>
      <c r="M25" s="9" t="n"/>
      <c r="N25" s="10" t="n"/>
      <c r="O25" s="11">
        <f>IF(OR(I25="",I25&lt;=0,H25&lt;=1),"",MIN(I25/(H25-1),Summary!$B$32)*Summary!$B$31*Summary!$B$30)</f>
        <v/>
      </c>
      <c r="P25" s="12">
        <f>IF(B25="",0,IF(COUNTIF($B$2:B25,B25)=1,1,0))</f>
        <v/>
      </c>
    </row>
    <row r="26">
      <c r="A26" s="2" t="n">
        <v>46263</v>
      </c>
      <c r="B26" s="3" t="inlineStr">
        <is>
          <t>Japan J League</t>
        </is>
      </c>
      <c r="C26" s="3" t="inlineStr">
        <is>
          <t>Nagoya Grampus v Fagiano Okayama</t>
        </is>
      </c>
      <c r="D26" s="3" t="n"/>
      <c r="E26" s="4" t="n">
        <v>5.8</v>
      </c>
      <c r="F26" s="3" t="inlineStr">
        <is>
          <t>5+</t>
        </is>
      </c>
      <c r="G26" s="5" t="n">
        <v>1.57</v>
      </c>
      <c r="H26" s="6" t="n">
        <v>1.66</v>
      </c>
      <c r="I26" s="7">
        <f>IF(OR(G26="",H26=""),"",H26/G26-1)</f>
        <v/>
      </c>
      <c r="J26" s="6" t="n"/>
      <c r="K26" s="7">
        <f>IF(OR(H26="",J26=""),"",H26/J26-1)</f>
        <v/>
      </c>
      <c r="L26" s="8" t="n"/>
      <c r="M26" s="9" t="n"/>
      <c r="N26" s="10" t="n"/>
      <c r="O26" s="11">
        <f>IF(OR(I26="",I26&lt;=0,H26&lt;=1),"",MIN(I26/(H26-1),Summary!$B$32)*Summary!$B$31*Summary!$B$30)</f>
        <v/>
      </c>
      <c r="P26" s="12">
        <f>IF(B26="",0,IF(COUNTIF($B$2:B26,B26)=1,1,0))</f>
        <v/>
      </c>
    </row>
    <row r="27">
      <c r="A27" s="2" t="n">
        <v>46263</v>
      </c>
      <c r="B27" s="3" t="inlineStr">
        <is>
          <t>Japan J League</t>
        </is>
      </c>
      <c r="C27" s="3" t="inlineStr">
        <is>
          <t>Vissel Kobe v Cerezo Osaka</t>
        </is>
      </c>
      <c r="D27" s="3" t="n"/>
      <c r="E27" s="4" t="n">
        <v>6.6</v>
      </c>
      <c r="F27" s="3" t="inlineStr">
        <is>
          <t>6+</t>
        </is>
      </c>
      <c r="G27" s="5" t="n">
        <v>1.69</v>
      </c>
      <c r="H27" s="6" t="n">
        <v>2.1</v>
      </c>
      <c r="I27" s="7">
        <f>IF(OR(G27="",H27=""),"",H27/G27-1)</f>
        <v/>
      </c>
      <c r="J27" s="6" t="n"/>
      <c r="K27" s="7">
        <f>IF(OR(H27="",J27=""),"",H27/J27-1)</f>
        <v/>
      </c>
      <c r="L27" s="8" t="n"/>
      <c r="M27" s="9" t="n"/>
      <c r="N27" s="10" t="inlineStr">
        <is>
          <t>Vissel Kobe havent won in 4 h2hs</t>
        </is>
      </c>
      <c r="O27" s="11">
        <f>IF(OR(I27="",I27&lt;=0,H27&lt;=1),"",MIN(I27/(H27-1),Summary!$B$32)*Summary!$B$31*Summary!$B$30)</f>
        <v/>
      </c>
      <c r="P27" s="12">
        <f>IF(B27="",0,IF(COUNTIF($B$2:B27,B27)=1,1,0))</f>
        <v/>
      </c>
    </row>
    <row r="28">
      <c r="A28" s="2" t="n">
        <v>46263</v>
      </c>
      <c r="B28" s="3" t="inlineStr">
        <is>
          <t>Japan J League</t>
        </is>
      </c>
      <c r="C28" s="3" t="inlineStr">
        <is>
          <t>Urawa v Yokohama</t>
        </is>
      </c>
      <c r="D28" s="3" t="n"/>
      <c r="E28" s="4" t="n">
        <v>5.8</v>
      </c>
      <c r="F28" s="3" t="inlineStr">
        <is>
          <t>5+</t>
        </is>
      </c>
      <c r="G28" s="5" t="n">
        <v>1.58</v>
      </c>
      <c r="H28" s="6" t="n">
        <v>1.53</v>
      </c>
      <c r="I28" s="7">
        <f>IF(OR(G28="",H28=""),"",H28/G28-1)</f>
        <v/>
      </c>
      <c r="J28" s="6" t="n"/>
      <c r="K28" s="7">
        <f>IF(OR(H28="",J28=""),"",H28/J28-1)</f>
        <v/>
      </c>
      <c r="L28" s="8" t="n"/>
      <c r="M28" s="9" t="n"/>
      <c r="N28" s="10" t="n"/>
      <c r="O28" s="11">
        <f>IF(OR(I28="",I28&lt;=0,H28&lt;=1),"",MIN(I28/(H28-1),Summary!$B$32)*Summary!$B$31*Summary!$B$30)</f>
        <v/>
      </c>
      <c r="P28" s="12">
        <f>IF(B28="",0,IF(COUNTIF($B$2:B28,B28)=1,1,0))</f>
        <v/>
      </c>
    </row>
    <row r="29">
      <c r="A29" s="2" t="n">
        <v>46264</v>
      </c>
      <c r="B29" s="3" t="inlineStr">
        <is>
          <t>Brazil Serie A</t>
        </is>
      </c>
      <c r="C29" s="3" t="inlineStr">
        <is>
          <t>Sao Paulo v RB Bragantino</t>
        </is>
      </c>
      <c r="D29" s="3" t="inlineStr">
        <is>
          <t>Sao Paulo</t>
        </is>
      </c>
      <c r="E29" s="4" t="n">
        <v>7.7</v>
      </c>
      <c r="F29" s="3" t="inlineStr">
        <is>
          <t>7+</t>
        </is>
      </c>
      <c r="G29" s="5" t="n">
        <v>1.68</v>
      </c>
      <c r="H29" s="6" t="n">
        <v>2.3</v>
      </c>
      <c r="I29" s="7">
        <f>IF(OR(G29="",H29=""),"",H29/G29-1)</f>
        <v/>
      </c>
      <c r="J29" s="6" t="n"/>
      <c r="K29" s="7">
        <f>IF(OR(H29="",J29=""),"",H29/J29-1)</f>
        <v/>
      </c>
      <c r="L29" s="8" t="n"/>
      <c r="M29" s="9" t="n"/>
      <c r="N29" s="10" t="n"/>
      <c r="O29" s="11">
        <f>IF(OR(I29="",I29&lt;=0,H29&lt;=1),"",MIN(I29/(H29-1),Summary!$B$32)*Summary!$B$31*Summary!$B$30)</f>
        <v/>
      </c>
      <c r="P29" s="12">
        <f>IF(B29="",0,IF(COUNTIF($B$2:B29,B29)=1,1,0))</f>
        <v/>
      </c>
    </row>
    <row r="30">
      <c r="A30" s="2" t="n">
        <v>46264</v>
      </c>
      <c r="B30" s="3" t="inlineStr">
        <is>
          <t>Brazil Serie A</t>
        </is>
      </c>
      <c r="C30" s="3" t="inlineStr">
        <is>
          <t>Mirassol v Palmeiras</t>
        </is>
      </c>
      <c r="D30" s="3" t="inlineStr">
        <is>
          <t>Mirassol</t>
        </is>
      </c>
      <c r="E30" s="4" t="n">
        <v>6.6</v>
      </c>
      <c r="F30" s="3" t="inlineStr">
        <is>
          <t>6+</t>
        </is>
      </c>
      <c r="G30" s="5" t="n">
        <v>1.68</v>
      </c>
      <c r="H30" s="6" t="n">
        <v>2.25</v>
      </c>
      <c r="I30" s="7">
        <f>IF(OR(G30="",H30=""),"",H30/G30-1)</f>
        <v/>
      </c>
      <c r="J30" s="6" t="n"/>
      <c r="K30" s="7">
        <f>IF(OR(H30="",J30=""),"",H30/J30-1)</f>
        <v/>
      </c>
      <c r="L30" s="8" t="n"/>
      <c r="M30" s="9" t="n"/>
      <c r="N30" s="10" t="n"/>
      <c r="O30" s="11">
        <f>IF(OR(I30="",I30&lt;=0,H30&lt;=1),"",MIN(I30/(H30-1),Summary!$B$32)*Summary!$B$31*Summary!$B$30)</f>
        <v/>
      </c>
      <c r="P30" s="12">
        <f>IF(B30="",0,IF(COUNTIF($B$2:B30,B30)=1,1,0))</f>
        <v/>
      </c>
    </row>
    <row r="31">
      <c r="A31" s="2" t="n">
        <v>46264</v>
      </c>
      <c r="B31" s="3" t="inlineStr">
        <is>
          <t>Brazil Serie A</t>
        </is>
      </c>
      <c r="C31" s="3" t="inlineStr">
        <is>
          <t>Flamengo v Botafogo</t>
        </is>
      </c>
      <c r="D31" s="3" t="inlineStr">
        <is>
          <t>Flamengo</t>
        </is>
      </c>
      <c r="E31" s="4" t="n">
        <v>6.1</v>
      </c>
      <c r="F31" s="3" t="inlineStr">
        <is>
          <t>5+</t>
        </is>
      </c>
      <c r="G31" s="5" t="n">
        <v>1.49</v>
      </c>
      <c r="H31" s="6" t="n">
        <v>1.22</v>
      </c>
      <c r="I31" s="7">
        <f>IF(OR(G31="",H31=""),"",H31/G31-1)</f>
        <v/>
      </c>
      <c r="J31" s="6" t="n"/>
      <c r="K31" s="7">
        <f>IF(OR(H31="",J31=""),"",H31/J31-1)</f>
        <v/>
      </c>
      <c r="L31" s="8" t="n"/>
      <c r="M31" s="9" t="n"/>
      <c r="N31" s="10" t="n"/>
      <c r="O31" s="11">
        <f>IF(OR(I31="",I31&lt;=0,H31&lt;=1),"",MIN(I31/(H31-1),Summary!$B$32)*Summary!$B$31*Summary!$B$30)</f>
        <v/>
      </c>
      <c r="P31" s="12">
        <f>IF(B31="",0,IF(COUNTIF($B$2:B31,B31)=1,1,0))</f>
        <v/>
      </c>
    </row>
    <row r="32">
      <c r="A32" s="2" t="n">
        <v>46264</v>
      </c>
      <c r="B32" s="3" t="inlineStr">
        <is>
          <t>Brazil Serie A</t>
        </is>
      </c>
      <c r="C32" s="3" t="inlineStr">
        <is>
          <t>Gremio v Chapecoense</t>
        </is>
      </c>
      <c r="D32" s="3" t="inlineStr">
        <is>
          <t>Gremio</t>
        </is>
      </c>
      <c r="E32" s="4" t="n">
        <v>6.5</v>
      </c>
      <c r="F32" s="3" t="inlineStr">
        <is>
          <t>5+</t>
        </is>
      </c>
      <c r="G32" s="5" t="n">
        <v>1.41</v>
      </c>
      <c r="H32" s="6" t="n">
        <v>1.33</v>
      </c>
      <c r="I32" s="7">
        <f>IF(OR(G32="",H32=""),"",H32/G32-1)</f>
        <v/>
      </c>
      <c r="J32" s="6" t="n"/>
      <c r="K32" s="7">
        <f>IF(OR(H32="",J32=""),"",H32/J32-1)</f>
        <v/>
      </c>
      <c r="L32" s="8" t="n"/>
      <c r="M32" s="9" t="n"/>
      <c r="N32" s="10" t="n"/>
      <c r="O32" s="11">
        <f>IF(OR(I32="",I32&lt;=0,H32&lt;=1),"",MIN(I32/(H32-1),Summary!$B$32)*Summary!$B$31*Summary!$B$30)</f>
        <v/>
      </c>
      <c r="P32" s="12">
        <f>IF(B32="",0,IF(COUNTIF($B$2:B32,B32)=1,1,0))</f>
        <v/>
      </c>
    </row>
    <row r="33">
      <c r="A33" s="2" t="n">
        <v>46264</v>
      </c>
      <c r="B33" s="3" t="inlineStr">
        <is>
          <t>England Premier League</t>
        </is>
      </c>
      <c r="C33" s="3" t="inlineStr">
        <is>
          <t>Leeds v Brentford</t>
        </is>
      </c>
      <c r="D33" s="3" t="inlineStr">
        <is>
          <t>Leeds</t>
        </is>
      </c>
      <c r="E33" s="4" t="n">
        <v>6.5</v>
      </c>
      <c r="F33" s="3" t="inlineStr">
        <is>
          <t>6+</t>
        </is>
      </c>
      <c r="G33" s="5" t="n">
        <v>1.7</v>
      </c>
      <c r="H33" s="6" t="n">
        <v>2.37</v>
      </c>
      <c r="I33" s="7">
        <f>IF(OR(G33="",H33=""),"",H33/G33-1)</f>
        <v/>
      </c>
      <c r="J33" s="6" t="n"/>
      <c r="K33" s="7">
        <f>IF(OR(H33="",J33=""),"",H33/J33-1)</f>
        <v/>
      </c>
      <c r="L33" s="8" t="n"/>
      <c r="M33" s="9" t="n"/>
      <c r="N33" s="10" t="inlineStr">
        <is>
          <t>Leeds 4.3 won / Brentford 7.3 conceded</t>
        </is>
      </c>
      <c r="O33" s="11">
        <f>IF(OR(I33="",I33&lt;=0,H33&lt;=1),"",MIN(I33/(H33-1),Summary!$B$32)*Summary!$B$31*Summary!$B$30)</f>
        <v/>
      </c>
      <c r="P33" s="12">
        <f>IF(B33="",0,IF(COUNTIF($B$2:B33,B33)=1,1,0))</f>
        <v/>
      </c>
    </row>
    <row r="34">
      <c r="A34" s="2" t="n">
        <v>46264</v>
      </c>
      <c r="B34" s="3" t="inlineStr">
        <is>
          <t>England Premier League</t>
        </is>
      </c>
      <c r="C34" s="3" t="inlineStr">
        <is>
          <t>Liverpool v Nottingham Forest</t>
        </is>
      </c>
      <c r="D34" s="3" t="inlineStr">
        <is>
          <t>Liverpool</t>
        </is>
      </c>
      <c r="E34" s="4" t="n">
        <v>7</v>
      </c>
      <c r="F34" s="3" t="inlineStr">
        <is>
          <t>6+</t>
        </is>
      </c>
      <c r="G34" s="5" t="n">
        <v>1.56</v>
      </c>
      <c r="H34" s="6" t="n">
        <v>1.5</v>
      </c>
      <c r="I34" s="7">
        <f>IF(OR(G34="",H34=""),"",H34/G34-1)</f>
        <v/>
      </c>
      <c r="J34" s="6" t="n"/>
      <c r="K34" s="7">
        <f>IF(OR(H34="",J34=""),"",H34/J34-1)</f>
        <v/>
      </c>
      <c r="L34" s="8" t="n"/>
      <c r="M34" s="9" t="n"/>
      <c r="N34" s="10" t="inlineStr">
        <is>
          <t>Swapped round from Forest v Liverpool. Liverpool 6.9 won / Forest 6.4 conceded</t>
        </is>
      </c>
      <c r="O34" s="11">
        <f>IF(OR(I34="",I34&lt;=0,H34&lt;=1),"",MIN(I34/(H34-1),Summary!$B$32)*Summary!$B$31*Summary!$B$30)</f>
        <v/>
      </c>
      <c r="P34" s="12">
        <f>IF(B34="",0,IF(COUNTIF($B$2:B34,B34)=1,1,0))</f>
        <v/>
      </c>
    </row>
    <row r="35">
      <c r="A35" s="2" t="n">
        <v>46264</v>
      </c>
      <c r="B35" s="3" t="inlineStr">
        <is>
          <t>Portugal Primeira Liga</t>
        </is>
      </c>
      <c r="C35" s="3" t="inlineStr">
        <is>
          <t>Nacional v Estrela</t>
        </is>
      </c>
      <c r="D35" s="3" t="inlineStr">
        <is>
          <t>Nacional</t>
        </is>
      </c>
      <c r="E35" s="4" t="n">
        <v>5.9</v>
      </c>
      <c r="F35" s="3" t="inlineStr">
        <is>
          <t>5+</t>
        </is>
      </c>
      <c r="G35" s="5" t="n">
        <v>1.55</v>
      </c>
      <c r="H35" s="6" t="n"/>
      <c r="I35" s="7">
        <f>IF(OR(G35="",H35=""),"",H35/G35-1)</f>
        <v/>
      </c>
      <c r="J35" s="6" t="n"/>
      <c r="K35" s="7">
        <f>IF(OR(H35="",J35=""),"",H35/J35-1)</f>
        <v/>
      </c>
      <c r="L35" s="8" t="n"/>
      <c r="M35" s="9" t="n"/>
      <c r="N35" s="10" t="inlineStr">
        <is>
          <t>Marked AWAY</t>
        </is>
      </c>
      <c r="O35" s="11">
        <f>IF(OR(I35="",I35&lt;=0,H35&lt;=1),"",MIN(I35/(H35-1),Summary!$B$32)*Summary!$B$31*Summary!$B$30)</f>
        <v/>
      </c>
      <c r="P35" s="12">
        <f>IF(B35="",0,IF(COUNTIF($B$2:B35,B35)=1,1,0))</f>
        <v/>
      </c>
    </row>
    <row r="36">
      <c r="A36" s="2" t="n">
        <v>46264</v>
      </c>
      <c r="B36" s="3" t="inlineStr">
        <is>
          <t>Belgium Pro League</t>
        </is>
      </c>
      <c r="C36" s="3" t="inlineStr">
        <is>
          <t>Gent v Club Brugge</t>
        </is>
      </c>
      <c r="D36" s="3" t="inlineStr">
        <is>
          <t>Club Brugge</t>
        </is>
      </c>
      <c r="E36" s="4" t="n">
        <v>6.1</v>
      </c>
      <c r="F36" s="3" t="inlineStr">
        <is>
          <t>5+</t>
        </is>
      </c>
      <c r="G36" s="5" t="n">
        <v>1.49</v>
      </c>
      <c r="H36" s="6" t="n">
        <v>1.4</v>
      </c>
      <c r="I36" s="7">
        <f>IF(OR(G36="",H36=""),"",H36/G36-1)</f>
        <v/>
      </c>
      <c r="J36" s="6" t="n"/>
      <c r="K36" s="7">
        <f>IF(OR(H36="",J36=""),"",H36/J36-1)</f>
        <v/>
      </c>
      <c r="L36" s="8" t="n"/>
      <c r="M36" s="9" t="n"/>
      <c r="N36" s="10" t="n"/>
      <c r="O36" s="11">
        <f>IF(OR(I36="",I36&lt;=0,H36&lt;=1),"",MIN(I36/(H36-1),Summary!$B$32)*Summary!$B$31*Summary!$B$30)</f>
        <v/>
      </c>
      <c r="P36" s="12">
        <f>IF(B36="",0,IF(COUNTIF($B$2:B36,B36)=1,1,0))</f>
        <v/>
      </c>
    </row>
    <row r="37">
      <c r="A37" s="2" t="n">
        <v>46264</v>
      </c>
      <c r="B37" s="3" t="inlineStr">
        <is>
          <t>Germany Bundesliga 2</t>
        </is>
      </c>
      <c r="C37" s="3" t="inlineStr">
        <is>
          <t>St Pauli v 1. FC Kaiserslautern</t>
        </is>
      </c>
      <c r="D37" s="3" t="inlineStr">
        <is>
          <t>St Pauli</t>
        </is>
      </c>
      <c r="E37" s="4" t="n">
        <v>6.9</v>
      </c>
      <c r="F37" s="3" t="inlineStr">
        <is>
          <t>6+</t>
        </is>
      </c>
      <c r="G37" s="5" t="n">
        <v>1.58</v>
      </c>
      <c r="H37" s="6" t="n">
        <v>1.61</v>
      </c>
      <c r="I37" s="7">
        <f>IF(OR(G37="",H37=""),"",H37/G37-1)</f>
        <v/>
      </c>
      <c r="J37" s="6" t="n"/>
      <c r="K37" s="7">
        <f>IF(OR(H37="",J37=""),"",H37/J37-1)</f>
        <v/>
      </c>
      <c r="L37" s="8" t="n"/>
      <c r="M37" s="9" t="n"/>
      <c r="N37" s="10" t="n"/>
      <c r="O37" s="11">
        <f>IF(OR(I37="",I37&lt;=0,H37&lt;=1),"",MIN(I37/(H37-1),Summary!$B$32)*Summary!$B$31*Summary!$B$30)</f>
        <v/>
      </c>
      <c r="P37" s="12">
        <f>IF(B37="",0,IF(COUNTIF($B$2:B37,B37)=1,1,0))</f>
        <v/>
      </c>
    </row>
    <row r="38">
      <c r="A38" s="2" t="n">
        <v>46264</v>
      </c>
      <c r="B38" s="3" t="inlineStr">
        <is>
          <t>USA MLS</t>
        </is>
      </c>
      <c r="C38" s="3" t="inlineStr">
        <is>
          <t>Minnesota v Orlando</t>
        </is>
      </c>
      <c r="D38" s="3" t="inlineStr">
        <is>
          <t>Minnesota</t>
        </is>
      </c>
      <c r="E38" s="4" t="n">
        <v>6.5</v>
      </c>
      <c r="F38" s="3" t="inlineStr">
        <is>
          <t>5+</t>
        </is>
      </c>
      <c r="G38" s="5" t="n">
        <v>1.42</v>
      </c>
      <c r="H38" s="6" t="n">
        <v>1.36</v>
      </c>
      <c r="I38" s="7">
        <f>IF(OR(G38="",H38=""),"",H38/G38-1)</f>
        <v/>
      </c>
      <c r="J38" s="6" t="n"/>
      <c r="K38" s="7">
        <f>IF(OR(H38="",J38=""),"",H38/J38-1)</f>
        <v/>
      </c>
      <c r="L38" s="8" t="n"/>
      <c r="M38" s="9" t="n"/>
      <c r="N38" s="10" t="n"/>
      <c r="O38" s="11">
        <f>IF(OR(I38="",I38&lt;=0,H38&lt;=1),"",MIN(I38/(H38-1),Summary!$B$32)*Summary!$B$31*Summary!$B$30)</f>
        <v/>
      </c>
      <c r="P38" s="12">
        <f>IF(B38="",0,IF(COUNTIF($B$2:B38,B38)=1,1,0))</f>
        <v/>
      </c>
    </row>
    <row r="39">
      <c r="A39" s="2" t="n">
        <v>46264</v>
      </c>
      <c r="B39" s="3" t="inlineStr">
        <is>
          <t>USA MLS</t>
        </is>
      </c>
      <c r="C39" s="3" t="inlineStr">
        <is>
          <t>Nashville v Cincinnati</t>
        </is>
      </c>
      <c r="D39" s="3" t="n"/>
      <c r="E39" s="4" t="n">
        <v>6</v>
      </c>
      <c r="F39" s="3" t="inlineStr">
        <is>
          <t>5+</t>
        </is>
      </c>
      <c r="G39" s="5" t="n">
        <v>1.51</v>
      </c>
      <c r="H39" s="6" t="n">
        <v>1.44</v>
      </c>
      <c r="I39" s="7">
        <f>IF(OR(G39="",H39=""),"",H39/G39-1)</f>
        <v/>
      </c>
      <c r="J39" s="6" t="n"/>
      <c r="K39" s="7">
        <f>IF(OR(H39="",J39=""),"",H39/J39-1)</f>
        <v/>
      </c>
      <c r="L39" s="8" t="n"/>
      <c r="M39" s="9" t="n"/>
      <c r="N39" s="10" t="n"/>
      <c r="O39" s="11">
        <f>IF(OR(I39="",I39&lt;=0,H39&lt;=1),"",MIN(I39/(H39-1),Summary!$B$32)*Summary!$B$31*Summary!$B$30)</f>
        <v/>
      </c>
      <c r="P39" s="12">
        <f>IF(B39="",0,IF(COUNTIF($B$2:B39,B39)=1,1,0))</f>
        <v/>
      </c>
    </row>
    <row r="40">
      <c r="A40" s="2" t="n">
        <v>46264</v>
      </c>
      <c r="B40" s="3" t="inlineStr">
        <is>
          <t>USA MLS</t>
        </is>
      </c>
      <c r="C40" s="3" t="inlineStr">
        <is>
          <t>Colorado Rapids v Real Salt Lake</t>
        </is>
      </c>
      <c r="D40" s="3" t="n"/>
      <c r="E40" s="4" t="n">
        <v>6.9</v>
      </c>
      <c r="F40" s="3" t="inlineStr">
        <is>
          <t>6+</t>
        </is>
      </c>
      <c r="G40" s="5" t="n">
        <v>1.6</v>
      </c>
      <c r="H40" s="6" t="n">
        <v>1.9</v>
      </c>
      <c r="I40" s="7">
        <f>IF(OR(G40="",H40=""),"",H40/G40-1)</f>
        <v/>
      </c>
      <c r="J40" s="6" t="n"/>
      <c r="K40" s="7">
        <f>IF(OR(H40="",J40=""),"",H40/J40-1)</f>
        <v/>
      </c>
      <c r="L40" s="8" t="n"/>
      <c r="M40" s="9" t="n"/>
      <c r="N40" s="10" t="inlineStr">
        <is>
          <t>1-0 or 2-0 in last 4 home games. under goals?</t>
        </is>
      </c>
      <c r="O40" s="11">
        <f>IF(OR(I40="",I40&lt;=0,H40&lt;=1),"",MIN(I40/(H40-1),Summary!$B$32)*Summary!$B$31*Summary!$B$30)</f>
        <v/>
      </c>
      <c r="P40" s="12">
        <f>IF(B40="",0,IF(COUNTIF($B$2:B40,B40)=1,1,0))</f>
        <v/>
      </c>
    </row>
    <row r="41">
      <c r="A41" s="2" t="n">
        <v>46264</v>
      </c>
      <c r="B41" s="3" t="inlineStr">
        <is>
          <t>Greece Super League</t>
        </is>
      </c>
      <c r="C41" s="3" t="inlineStr">
        <is>
          <t>Aris v OFI</t>
        </is>
      </c>
      <c r="D41" s="3" t="n"/>
      <c r="E41" s="4" t="n">
        <v>6</v>
      </c>
      <c r="F41" s="3" t="inlineStr">
        <is>
          <t>5+</t>
        </is>
      </c>
      <c r="G41" s="5" t="n">
        <v>1.51</v>
      </c>
      <c r="H41" s="6" t="n"/>
      <c r="I41" s="7">
        <f>IF(OR(G41="",H41=""),"",H41/G41-1)</f>
        <v/>
      </c>
      <c r="J41" s="6" t="n"/>
      <c r="K41" s="7">
        <f>IF(OR(H41="",J41=""),"",H41/J41-1)</f>
        <v/>
      </c>
      <c r="L41" s="8" t="n"/>
      <c r="M41" s="9" t="n"/>
      <c r="N41" s="10" t="n"/>
      <c r="O41" s="11">
        <f>IF(OR(I41="",I41&lt;=0,H41&lt;=1),"",MIN(I41/(H41-1),Summary!$B$32)*Summary!$B$31*Summary!$B$30)</f>
        <v/>
      </c>
      <c r="P41" s="12">
        <f>IF(B41="",0,IF(COUNTIF($B$2:B41,B41)=1,1,0))</f>
        <v/>
      </c>
    </row>
    <row r="42">
      <c r="A42" s="2" t="n">
        <v>46264</v>
      </c>
      <c r="B42" s="3" t="inlineStr">
        <is>
          <t>Argentina Liga Profesional</t>
        </is>
      </c>
      <c r="C42" s="3" t="inlineStr">
        <is>
          <t>Independiente v Gimnasia</t>
        </is>
      </c>
      <c r="D42" s="3" t="inlineStr">
        <is>
          <t>Independiente</t>
        </is>
      </c>
      <c r="E42" s="4" t="n">
        <v>7.5</v>
      </c>
      <c r="F42" s="3" t="inlineStr">
        <is>
          <t>6+</t>
        </is>
      </c>
      <c r="G42" s="5" t="n">
        <v>1.46</v>
      </c>
      <c r="H42" s="6" t="n">
        <v>1.83</v>
      </c>
      <c r="I42" s="7">
        <f>IF(OR(G42="",H42=""),"",H42/G42-1)</f>
        <v/>
      </c>
      <c r="J42" s="6" t="n"/>
      <c r="K42" s="7">
        <f>IF(OR(H42="",J42=""),"",H42/J42-1)</f>
        <v/>
      </c>
      <c r="L42" s="8" t="n"/>
      <c r="M42" s="9" t="n"/>
      <c r="N42" s="10" t="inlineStr">
        <is>
          <t>Won 6+ in 10 of 11 at home</t>
        </is>
      </c>
      <c r="O42" s="11">
        <f>IF(OR(I42="",I42&lt;=0,H42&lt;=1),"",MIN(I42/(H42-1),Summary!$B$32)*Summary!$B$31*Summary!$B$30)</f>
        <v/>
      </c>
      <c r="P42" s="12">
        <f>IF(B42="",0,IF(COUNTIF($B$2:B42,B42)=1,1,0))</f>
        <v/>
      </c>
    </row>
    <row r="43">
      <c r="A43" s="2" t="n">
        <v>46264</v>
      </c>
      <c r="B43" s="3" t="inlineStr">
        <is>
          <t>Argentina Liga Profesional</t>
        </is>
      </c>
      <c r="C43" s="3" t="inlineStr">
        <is>
          <t>Union Santa Fe v Sarmiento</t>
        </is>
      </c>
      <c r="D43" s="3" t="n"/>
      <c r="E43" s="4" t="n">
        <v>7.7</v>
      </c>
      <c r="F43" s="3" t="inlineStr">
        <is>
          <t>7+</t>
        </is>
      </c>
      <c r="G43" s="5" t="n">
        <v>1.68</v>
      </c>
      <c r="H43" s="6" t="n">
        <v>2</v>
      </c>
      <c r="I43" s="7">
        <f>IF(OR(G43="",H43=""),"",H43/G43-1)</f>
        <v/>
      </c>
      <c r="J43" s="6" t="n"/>
      <c r="K43" s="7">
        <f>IF(OR(H43="",J43=""),"",H43/J43-1)</f>
        <v/>
      </c>
      <c r="L43" s="8" t="n"/>
      <c r="M43" s="9" t="n"/>
      <c r="N43" s="10" t="n"/>
      <c r="O43" s="11">
        <f>IF(OR(I43="",I43&lt;=0,H43&lt;=1),"",MIN(I43/(H43-1),Summary!$B$32)*Summary!$B$31*Summary!$B$30)</f>
        <v/>
      </c>
      <c r="P43" s="12">
        <f>IF(B43="",0,IF(COUNTIF($B$2:B43,B43)=1,1,0))</f>
        <v/>
      </c>
    </row>
    <row r="44">
      <c r="A44" s="2" t="n">
        <v>46264</v>
      </c>
      <c r="B44" s="3" t="inlineStr">
        <is>
          <t>Argentina Liga Profesional</t>
        </is>
      </c>
      <c r="C44" s="3" t="inlineStr">
        <is>
          <t>Argentinos Jrs v Aldosivi</t>
        </is>
      </c>
      <c r="D44" s="3" t="n"/>
      <c r="E44" s="4" t="n">
        <v>6.7</v>
      </c>
      <c r="F44" s="3" t="inlineStr">
        <is>
          <t>6+</t>
        </is>
      </c>
      <c r="G44" s="5" t="n">
        <v>1.66</v>
      </c>
      <c r="H44" s="6" t="n">
        <v>1.57</v>
      </c>
      <c r="I44" s="7">
        <f>IF(OR(G44="",H44=""),"",H44/G44-1)</f>
        <v/>
      </c>
      <c r="J44" s="6" t="n"/>
      <c r="K44" s="7">
        <f>IF(OR(H44="",J44=""),"",H44/J44-1)</f>
        <v/>
      </c>
      <c r="L44" s="8" t="n"/>
      <c r="M44" s="9" t="n"/>
      <c r="N44" s="10" t="inlineStr">
        <is>
          <t>Crossed out at 1.57. 7+ quoted 2.00</t>
        </is>
      </c>
      <c r="O44" s="11">
        <f>IF(OR(I44="",I44&lt;=0,H44&lt;=1),"",MIN(I44/(H44-1),Summary!$B$32)*Summary!$B$31*Summary!$B$30)</f>
        <v/>
      </c>
      <c r="P44" s="12">
        <f>IF(B44="",0,IF(COUNTIF($B$2:B44,B44)=1,1,0))</f>
        <v/>
      </c>
    </row>
    <row r="45">
      <c r="A45" s="2" t="n">
        <v>46264</v>
      </c>
      <c r="B45" s="3" t="inlineStr">
        <is>
          <t>Argentina Liga Profesional</t>
        </is>
      </c>
      <c r="C45" s="3" t="inlineStr">
        <is>
          <t>Atletico Tucuman v Belgrano</t>
        </is>
      </c>
      <c r="D45" s="3" t="n"/>
      <c r="E45" s="4" t="n">
        <v>5.8</v>
      </c>
      <c r="F45" s="3" t="inlineStr">
        <is>
          <t>5+</t>
        </is>
      </c>
      <c r="G45" s="5" t="n">
        <v>1.58</v>
      </c>
      <c r="H45" s="6" t="n">
        <v>1.83</v>
      </c>
      <c r="I45" s="7">
        <f>IF(OR(G45="",H45=""),"",H45/G45-1)</f>
        <v/>
      </c>
      <c r="J45" s="6" t="n"/>
      <c r="K45" s="7">
        <f>IF(OR(H45="",J45=""),"",H45/J45-1)</f>
        <v/>
      </c>
      <c r="L45" s="8" t="n"/>
      <c r="M45" s="9" t="n"/>
      <c r="N45" s="10" t="inlineStr">
        <is>
          <t>Ticked</t>
        </is>
      </c>
      <c r="O45" s="11">
        <f>IF(OR(I45="",I45&lt;=0,H45&lt;=1),"",MIN(I45/(H45-1),Summary!$B$32)*Summary!$B$31*Summary!$B$30)</f>
        <v/>
      </c>
      <c r="P45" s="12">
        <f>IF(B45="",0,IF(COUNTIF($B$2:B45,B45)=1,1,0))</f>
        <v/>
      </c>
    </row>
    <row r="46">
      <c r="A46" s="2" t="n">
        <v>46264</v>
      </c>
      <c r="B46" s="3" t="inlineStr">
        <is>
          <t>Argentina Liga Profesional</t>
        </is>
      </c>
      <c r="C46" s="3" t="inlineStr">
        <is>
          <t>Rosario Central v Gimnasia LP</t>
        </is>
      </c>
      <c r="D46" s="3" t="n"/>
      <c r="E46" s="4" t="n">
        <v>6.2</v>
      </c>
      <c r="F46" s="3" t="inlineStr">
        <is>
          <t>5+</t>
        </is>
      </c>
      <c r="G46" s="5" t="n">
        <v>1.47</v>
      </c>
      <c r="H46" s="6" t="n">
        <v>1.33</v>
      </c>
      <c r="I46" s="7">
        <f>IF(OR(G46="",H46=""),"",H46/G46-1)</f>
        <v/>
      </c>
      <c r="J46" s="6" t="n"/>
      <c r="K46" s="7">
        <f>IF(OR(H46="",J46=""),"",H46/J46-1)</f>
        <v/>
      </c>
      <c r="L46" s="8" t="n"/>
      <c r="M46" s="9" t="n"/>
      <c r="N46" s="10" t="inlineStr">
        <is>
          <t>7+ quoted 2.10, crossed out. 4+ quoted 1.40</t>
        </is>
      </c>
      <c r="O46" s="11">
        <f>IF(OR(I46="",I46&lt;=0,H46&lt;=1),"",MIN(I46/(H46-1),Summary!$B$32)*Summary!$B$31*Summary!$B$30)</f>
        <v/>
      </c>
      <c r="P46" s="12">
        <f>IF(B46="",0,IF(COUNTIF($B$2:B46,B46)=1,1,0))</f>
        <v/>
      </c>
    </row>
    <row r="47">
      <c r="A47" s="2" t="n">
        <v>46264</v>
      </c>
      <c r="B47" s="3" t="inlineStr">
        <is>
          <t>Argentina Liga Profesional</t>
        </is>
      </c>
      <c r="C47" s="3" t="inlineStr">
        <is>
          <t>Independiente Rivadavia v Racing Club</t>
        </is>
      </c>
      <c r="D47" s="3" t="n"/>
      <c r="E47" s="4" t="n">
        <v>5.2</v>
      </c>
      <c r="F47" s="3" t="inlineStr">
        <is>
          <t>4+</t>
        </is>
      </c>
      <c r="G47" s="5" t="n">
        <v>1.42</v>
      </c>
      <c r="H47" s="6" t="n"/>
      <c r="I47" s="7">
        <f>IF(OR(G47="",H47=""),"",H47/G47-1)</f>
        <v/>
      </c>
      <c r="J47" s="6" t="n"/>
      <c r="K47" s="7">
        <f>IF(OR(H47="",J47=""),"",H47/J47-1)</f>
        <v/>
      </c>
      <c r="L47" s="8" t="n"/>
      <c r="M47" s="9" t="n"/>
      <c r="N47" s="10" t="inlineStr">
        <is>
          <t>5+ quoted 1.83</t>
        </is>
      </c>
      <c r="O47" s="11">
        <f>IF(OR(I47="",I47&lt;=0,H47&lt;=1),"",MIN(I47/(H47-1),Summary!$B$32)*Summary!$B$31*Summary!$B$30)</f>
        <v/>
      </c>
      <c r="P47" s="12">
        <f>IF(B47="",0,IF(COUNTIF($B$2:B47,B47)=1,1,0))</f>
        <v/>
      </c>
    </row>
    <row r="48">
      <c r="A48" s="2" t="n">
        <v>46264</v>
      </c>
      <c r="B48" s="3" t="inlineStr">
        <is>
          <t>Argentina Liga Profesional</t>
        </is>
      </c>
      <c r="C48" s="3" t="inlineStr">
        <is>
          <t>Estudiantes LP v Newells Old Boys</t>
        </is>
      </c>
      <c r="D48" s="3" t="inlineStr">
        <is>
          <t>Estudiantes LP</t>
        </is>
      </c>
      <c r="E48" s="4" t="n">
        <v>6.6</v>
      </c>
      <c r="F48" s="3" t="inlineStr">
        <is>
          <t>6+</t>
        </is>
      </c>
      <c r="G48" s="5" t="n">
        <v>1.7</v>
      </c>
      <c r="H48" s="6" t="n">
        <v>2.87</v>
      </c>
      <c r="I48" s="7">
        <f>IF(OR(G48="",H48=""),"",H48/G48-1)</f>
        <v/>
      </c>
      <c r="J48" s="6" t="n"/>
      <c r="K48" s="7">
        <f>IF(OR(H48="",J48=""),"",H48/J48-1)</f>
        <v/>
      </c>
      <c r="L48" s="8" t="n"/>
      <c r="M48" s="9" t="n"/>
      <c r="N48" s="10" t="inlineStr">
        <is>
          <t>5+ quoted 2.00, marked green</t>
        </is>
      </c>
      <c r="O48" s="11">
        <f>IF(OR(I48="",I48&lt;=0,H48&lt;=1),"",MIN(I48/(H48-1),Summary!$B$32)*Summary!$B$31*Summary!$B$30)</f>
        <v/>
      </c>
      <c r="P48" s="12">
        <f>IF(B48="",0,IF(COUNTIF($B$2:B48,B48)=1,1,0))</f>
        <v/>
      </c>
    </row>
    <row r="49">
      <c r="A49" s="2" t="n">
        <v>46264</v>
      </c>
      <c r="B49" s="3" t="inlineStr">
        <is>
          <t>Argentina Liga Profesional</t>
        </is>
      </c>
      <c r="C49" s="3" t="inlineStr">
        <is>
          <t>Talleres v Central Cordoba (Santiago)</t>
        </is>
      </c>
      <c r="D49" s="3" t="n"/>
      <c r="E49" s="4" t="n">
        <v>5.6</v>
      </c>
      <c r="F49" s="3" t="inlineStr">
        <is>
          <t>5+</t>
        </is>
      </c>
      <c r="G49" s="5" t="n">
        <v>1.64</v>
      </c>
      <c r="H49" s="6" t="n">
        <v>1.57</v>
      </c>
      <c r="I49" s="7">
        <f>IF(OR(G49="",H49=""),"",H49/G49-1)</f>
        <v/>
      </c>
      <c r="J49" s="6" t="n"/>
      <c r="K49" s="7">
        <f>IF(OR(H49="",J49=""),"",H49/J49-1)</f>
        <v/>
      </c>
      <c r="L49" s="8" t="n"/>
      <c r="M49" s="9" t="n"/>
      <c r="N49" s="10" t="inlineStr">
        <is>
          <t>6+ quoted 2.10, crossed out</t>
        </is>
      </c>
      <c r="O49" s="11">
        <f>IF(OR(I49="",I49&lt;=0,H49&lt;=1),"",MIN(I49/(H49-1),Summary!$B$32)*Summary!$B$31*Summary!$B$30)</f>
        <v/>
      </c>
      <c r="P49" s="12">
        <f>IF(B49="",0,IF(COUNTIF($B$2:B49,B49)=1,1,0))</f>
        <v/>
      </c>
    </row>
    <row r="50">
      <c r="A50" s="2" t="n">
        <v>46265</v>
      </c>
      <c r="B50" s="3" t="inlineStr">
        <is>
          <t>Turkey Super Lig</t>
        </is>
      </c>
      <c r="C50" s="3" t="inlineStr">
        <is>
          <t>Amed v Trabzonspor</t>
        </is>
      </c>
      <c r="D50" s="3" t="inlineStr">
        <is>
          <t>Amed</t>
        </is>
      </c>
      <c r="E50" s="4" t="n">
        <v>5.3</v>
      </c>
      <c r="F50" s="3" t="inlineStr">
        <is>
          <t>4+</t>
        </is>
      </c>
      <c r="G50" s="5" t="n">
        <v>1.4</v>
      </c>
      <c r="H50" s="6" t="n"/>
      <c r="I50" s="7">
        <f>IF(OR(G50="",H50=""),"",H50/G50-1)</f>
        <v/>
      </c>
      <c r="J50" s="6" t="n"/>
      <c r="K50" s="7">
        <f>IF(OR(H50="",J50=""),"",H50/J50-1)</f>
        <v/>
      </c>
      <c r="L50" s="8" t="n"/>
      <c r="M50" s="9" t="n"/>
      <c r="N50" s="10" t="n"/>
      <c r="O50" s="11">
        <f>IF(OR(I50="",I50&lt;=0,H50&lt;=1),"",MIN(I50/(H50-1),Summary!$B$32)*Summary!$B$31*Summary!$B$30)</f>
        <v/>
      </c>
      <c r="P50" s="12">
        <f>IF(B50="",0,IF(COUNTIF($B$2:B50,B50)=1,1,0))</f>
        <v/>
      </c>
    </row>
    <row r="51">
      <c r="A51" s="2" t="n">
        <v>46265</v>
      </c>
      <c r="B51" s="3" t="inlineStr">
        <is>
          <t>USA MLS</t>
        </is>
      </c>
      <c r="C51" s="3" t="inlineStr">
        <is>
          <t>St Louis City v FC Dallas</t>
        </is>
      </c>
      <c r="D51" s="3" t="inlineStr">
        <is>
          <t>St Louis City</t>
        </is>
      </c>
      <c r="E51" s="4" t="n">
        <v>6.5</v>
      </c>
      <c r="F51" s="3" t="inlineStr">
        <is>
          <t>6+</t>
        </is>
      </c>
      <c r="G51" s="5" t="n">
        <v>1.71</v>
      </c>
      <c r="H51" s="6" t="n">
        <v>1.66</v>
      </c>
      <c r="I51" s="7">
        <f>IF(OR(G51="",H51=""),"",H51/G51-1)</f>
        <v/>
      </c>
      <c r="J51" s="6" t="n"/>
      <c r="K51" s="7">
        <f>IF(OR(H51="",J51=""),"",H51/J51-1)</f>
        <v/>
      </c>
      <c r="L51" s="8" t="n"/>
      <c r="M51" s="9" t="n"/>
      <c r="N51" s="10" t="n"/>
      <c r="O51" s="11">
        <f>IF(OR(I51="",I51&lt;=0,H51&lt;=1),"",MIN(I51/(H51-1),Summary!$B$32)*Summary!$B$31*Summary!$B$30)</f>
        <v/>
      </c>
      <c r="P51" s="12">
        <f>IF(B51="",0,IF(COUNTIF($B$2:B51,B51)=1,1,0))</f>
        <v/>
      </c>
    </row>
    <row r="52">
      <c r="A52" s="2" t="n"/>
      <c r="B52" s="3" t="inlineStr">
        <is>
          <t>Brazil Serie B</t>
        </is>
      </c>
      <c r="C52" s="3" t="inlineStr">
        <is>
          <t>Novorizontino v Recife</t>
        </is>
      </c>
      <c r="D52" s="3" t="n"/>
      <c r="E52" s="4" t="n">
        <v>7.4</v>
      </c>
      <c r="F52" s="3" t="inlineStr">
        <is>
          <t>6+</t>
        </is>
      </c>
      <c r="G52" s="5" t="n">
        <v>1.48</v>
      </c>
      <c r="H52" s="6" t="n">
        <v>1.4</v>
      </c>
      <c r="I52" s="7">
        <f>IF(OR(G52="",H52=""),"",H52/G52-1)</f>
        <v/>
      </c>
      <c r="J52" s="6" t="n"/>
      <c r="K52" s="7">
        <f>IF(OR(H52="",J52=""),"",H52/J52-1)</f>
        <v/>
      </c>
      <c r="L52" s="8" t="n"/>
      <c r="M52" s="9" t="n"/>
      <c r="N52" s="10" t="inlineStr">
        <is>
          <t>No date written (round 24/25)</t>
        </is>
      </c>
      <c r="O52" s="11">
        <f>IF(OR(I52="",I52&lt;=0,H52&lt;=1),"",MIN(I52/(H52-1),Summary!$B$32)*Summary!$B$31*Summary!$B$30)</f>
        <v/>
      </c>
      <c r="P52" s="12">
        <f>IF(B52="",0,IF(COUNTIF($B$2:B52,B52)=1,1,0))</f>
        <v/>
      </c>
    </row>
    <row r="53">
      <c r="A53" s="2" t="n"/>
      <c r="B53" s="3" t="inlineStr">
        <is>
          <t>Brazil Serie B</t>
        </is>
      </c>
      <c r="C53" s="3" t="inlineStr">
        <is>
          <t>Nautico Recife v Athletic</t>
        </is>
      </c>
      <c r="D53" s="3" t="n"/>
      <c r="E53" s="4" t="n">
        <v>7</v>
      </c>
      <c r="F53" s="3" t="inlineStr">
        <is>
          <t>6+</t>
        </is>
      </c>
      <c r="G53" s="5" t="n">
        <v>1.56</v>
      </c>
      <c r="H53" s="6" t="n">
        <v>1.8</v>
      </c>
      <c r="I53" s="7">
        <f>IF(OR(G53="",H53=""),"",H53/G53-1)</f>
        <v/>
      </c>
      <c r="J53" s="6" t="n"/>
      <c r="K53" s="7">
        <f>IF(OR(H53="",J53=""),"",H53/J53-1)</f>
        <v/>
      </c>
      <c r="L53" s="8" t="n"/>
      <c r="M53" s="9" t="n"/>
      <c r="N53" s="10" t="inlineStr">
        <is>
          <t>No date written (round 24/25)</t>
        </is>
      </c>
      <c r="O53" s="11">
        <f>IF(OR(I53="",I53&lt;=0,H53&lt;=1),"",MIN(I53/(H53-1),Summary!$B$32)*Summary!$B$31*Summary!$B$30)</f>
        <v/>
      </c>
      <c r="P53" s="12">
        <f>IF(B53="",0,IF(COUNTIF($B$2:B53,B53)=1,1,0))</f>
        <v/>
      </c>
    </row>
    <row r="54">
      <c r="A54" s="2" t="n"/>
      <c r="B54" s="3" t="inlineStr">
        <is>
          <t>Brazil Serie B</t>
        </is>
      </c>
      <c r="C54" s="3" t="inlineStr">
        <is>
          <t>Villa Nova v Ceara</t>
        </is>
      </c>
      <c r="D54" s="3" t="n"/>
      <c r="E54" s="4" t="n">
        <v>6.7</v>
      </c>
      <c r="F54" s="3" t="inlineStr">
        <is>
          <t>6+</t>
        </is>
      </c>
      <c r="G54" s="5" t="n">
        <v>1.64</v>
      </c>
      <c r="H54" s="6" t="n">
        <v>1.66</v>
      </c>
      <c r="I54" s="7">
        <f>IF(OR(G54="",H54=""),"",H54/G54-1)</f>
        <v/>
      </c>
      <c r="J54" s="6" t="n"/>
      <c r="K54" s="7">
        <f>IF(OR(H54="",J54=""),"",H54/J54-1)</f>
        <v/>
      </c>
      <c r="L54" s="8" t="n"/>
      <c r="M54" s="9" t="n"/>
      <c r="N54" s="10" t="inlineStr">
        <is>
          <t>No date written (round 24/25)</t>
        </is>
      </c>
      <c r="O54" s="11">
        <f>IF(OR(I54="",I54&lt;=0,H54&lt;=1),"",MIN(I54/(H54-1),Summary!$B$32)*Summary!$B$31*Summary!$B$30)</f>
        <v/>
      </c>
      <c r="P54" s="12">
        <f>IF(B54="",0,IF(COUNTIF($B$2:B54,B54)=1,1,0))</f>
        <v/>
      </c>
    </row>
    <row r="55">
      <c r="A55" s="2" t="n"/>
      <c r="B55" s="3" t="inlineStr">
        <is>
          <t>Switzerland Super League</t>
        </is>
      </c>
      <c r="C55" s="3" t="inlineStr">
        <is>
          <t>Young Boys v Basel</t>
        </is>
      </c>
      <c r="D55" s="3" t="n"/>
      <c r="E55" s="4" t="n">
        <v>6.5</v>
      </c>
      <c r="F55" s="3" t="inlineStr">
        <is>
          <t>5+</t>
        </is>
      </c>
      <c r="G55" s="5" t="n">
        <v>1.42</v>
      </c>
      <c r="H55" s="6" t="n">
        <v>1.33</v>
      </c>
      <c r="I55" s="7">
        <f>IF(OR(G55="",H55=""),"",H55/G55-1)</f>
        <v/>
      </c>
      <c r="J55" s="6" t="n"/>
      <c r="K55" s="7">
        <f>IF(OR(H55="",J55=""),"",H55/J55-1)</f>
        <v/>
      </c>
      <c r="L55" s="8" t="n"/>
      <c r="M55" s="9" t="n"/>
      <c r="N55" s="10" t="inlineStr">
        <is>
          <t>No date written (round 5)</t>
        </is>
      </c>
      <c r="O55" s="11">
        <f>IF(OR(I55="",I55&lt;=0,H55&lt;=1),"",MIN(I55/(H55-1),Summary!$B$32)*Summary!$B$31*Summary!$B$30)</f>
        <v/>
      </c>
      <c r="P55" s="12">
        <f>IF(B55="",0,IF(COUNTIF($B$2:B55,B55)=1,1,0))</f>
        <v/>
      </c>
    </row>
    <row r="56">
      <c r="A56" s="2" t="n"/>
      <c r="B56" s="3" t="inlineStr">
        <is>
          <t>Austria Bundesliga</t>
        </is>
      </c>
      <c r="C56" s="3" t="inlineStr">
        <is>
          <t>LASK Linz v Altach</t>
        </is>
      </c>
      <c r="D56" s="3" t="n"/>
      <c r="E56" s="4" t="n">
        <v>6.8</v>
      </c>
      <c r="F56" s="3" t="inlineStr">
        <is>
          <t>6+</t>
        </is>
      </c>
      <c r="G56" s="5" t="n">
        <v>1.64</v>
      </c>
      <c r="H56" s="6" t="n">
        <v>1.9</v>
      </c>
      <c r="I56" s="7">
        <f>IF(OR(G56="",H56=""),"",H56/G56-1)</f>
        <v/>
      </c>
      <c r="J56" s="6" t="n"/>
      <c r="K56" s="7">
        <f>IF(OR(H56="",J56=""),"",H56/J56-1)</f>
        <v/>
      </c>
      <c r="L56" s="8" t="n"/>
      <c r="M56" s="9" t="n"/>
      <c r="N56" s="10" t="inlineStr">
        <is>
          <t>No date written (round 5)</t>
        </is>
      </c>
      <c r="O56" s="11">
        <f>IF(OR(I56="",I56&lt;=0,H56&lt;=1),"",MIN(I56/(H56-1),Summary!$B$32)*Summary!$B$31*Summary!$B$30)</f>
        <v/>
      </c>
      <c r="P56" s="12">
        <f>IF(B56="",0,IF(COUNTIF($B$2:B56,B56)=1,1,0))</f>
        <v/>
      </c>
    </row>
    <row r="57">
      <c r="A57" s="2" t="n">
        <v>46269</v>
      </c>
      <c r="B57" s="3" t="inlineStr">
        <is>
          <t>England Premier League</t>
        </is>
      </c>
      <c r="C57" s="3" t="inlineStr">
        <is>
          <t>Liverpool v Ipswich</t>
        </is>
      </c>
      <c r="D57" s="3" t="inlineStr">
        <is>
          <t>Liverpool</t>
        </is>
      </c>
      <c r="E57" s="4" t="n">
        <v>7.2</v>
      </c>
      <c r="F57" s="3" t="inlineStr">
        <is>
          <t>6+</t>
        </is>
      </c>
      <c r="G57" s="5" t="n">
        <v>1.55</v>
      </c>
      <c r="H57" s="6" t="n">
        <v>1.8</v>
      </c>
      <c r="I57" s="7">
        <f>IF(OR(G57="",H57=""),"",H57/G57-1)</f>
        <v/>
      </c>
      <c r="J57" s="6" t="n"/>
      <c r="K57" s="7">
        <f>IF(OR(H57="",J57=""),"",H57/J57-1)</f>
        <v/>
      </c>
      <c r="L57" s="8" t="n"/>
      <c r="M57" s="9" t="n"/>
      <c r="N57" s="10" t="inlineStr">
        <is>
          <t>Skybet</t>
        </is>
      </c>
      <c r="O57" s="11">
        <f>IF(OR(I57="",I57&lt;=0,H57&lt;=1),"",MIN(I57/(H57-1),Summary!$B$32)*Summary!$B$31*Summary!$B$30)</f>
        <v/>
      </c>
      <c r="P57" s="12">
        <f>IF(B57="",0,IF(COUNTIF($B$2:B57,B57)=1,1,0))</f>
        <v/>
      </c>
    </row>
    <row r="58">
      <c r="A58" s="2" t="n">
        <v>46270</v>
      </c>
      <c r="B58" s="3" t="inlineStr">
        <is>
          <t>Germany 3. Liga</t>
        </is>
      </c>
      <c r="C58" s="3" t="inlineStr">
        <is>
          <t>VfL Wolfsburg II v Energie Cottbus</t>
        </is>
      </c>
      <c r="D58" s="3" t="inlineStr">
        <is>
          <t>Over 11 Asian Corners</t>
        </is>
      </c>
      <c r="E58" s="4" t="n"/>
      <c r="F58" s="3" t="n"/>
      <c r="G58" s="5" t="n"/>
      <c r="H58" s="6" t="n">
        <v>1.925</v>
      </c>
      <c r="I58" s="7">
        <f>IF(OR(G58="",H58=""),"",H58/G58-1)</f>
        <v/>
      </c>
      <c r="J58" s="6" t="n"/>
      <c r="K58" s="7">
        <f>IF(OR(H58="",J58=""),"",H58/J58-1)</f>
        <v/>
      </c>
      <c r="L58" s="8" t="n"/>
      <c r="M58" s="9" t="n"/>
      <c r="N58" s="10" t="inlineStr">
        <is>
          <t>Asian line — no fair price yet. League inferred, please confirm.</t>
        </is>
      </c>
      <c r="O58" s="11">
        <f>IF(OR(I58="",I58&lt;=0,H58&lt;=1),"",MIN(I58/(H58-1),Summary!$B$32)*Summary!$B$31*Summary!$B$30)</f>
        <v/>
      </c>
      <c r="P58" s="12">
        <f>IF(B58="",0,IF(COUNTIF($B$2:B58,B58)=1,1,0))</f>
        <v/>
      </c>
    </row>
    <row r="59">
      <c r="A59" s="2" t="n">
        <v>46270</v>
      </c>
      <c r="B59" s="3" t="inlineStr">
        <is>
          <t>Brazil Serie A</t>
        </is>
      </c>
      <c r="C59" s="3" t="inlineStr">
        <is>
          <t>RB Bragantino v Bahia</t>
        </is>
      </c>
      <c r="D59" s="3" t="inlineStr">
        <is>
          <t>RB Bragantino</t>
        </is>
      </c>
      <c r="E59" s="4" t="n"/>
      <c r="F59" s="3" t="inlineStr">
        <is>
          <t>6+</t>
        </is>
      </c>
      <c r="G59" s="5" t="n"/>
      <c r="H59" s="6" t="n">
        <v>1.83</v>
      </c>
      <c r="I59" s="7">
        <f>IF(OR(G59="",H59=""),"",H59/G59-1)</f>
        <v/>
      </c>
      <c r="J59" s="6" t="n"/>
      <c r="K59" s="7">
        <f>IF(OR(H59="",J59=""),"",H59/J59-1)</f>
        <v/>
      </c>
      <c r="L59" s="8" t="n"/>
      <c r="M59" s="9" t="n"/>
      <c r="N59" s="10" t="inlineStr">
        <is>
          <t>Bet365. No projection yet.</t>
        </is>
      </c>
      <c r="O59" s="11">
        <f>IF(OR(I59="",I59&lt;=0,H59&lt;=1),"",MIN(I59/(H59-1),Summary!$B$32)*Summary!$B$31*Summary!$B$30)</f>
        <v/>
      </c>
      <c r="P59" s="12">
        <f>IF(B59="",0,IF(COUNTIF($B$2:B59,B59)=1,1,0))</f>
        <v/>
      </c>
    </row>
    <row r="60">
      <c r="A60" s="2" t="n">
        <v>46270</v>
      </c>
      <c r="B60" s="3" t="inlineStr">
        <is>
          <t>Turkey Super Lig</t>
        </is>
      </c>
      <c r="C60" s="3" t="inlineStr">
        <is>
          <t>Fenerbahce v Besiktas</t>
        </is>
      </c>
      <c r="D60" s="3" t="inlineStr">
        <is>
          <t>Fenerbahce</t>
        </is>
      </c>
      <c r="E60" s="4" t="n"/>
      <c r="F60" s="3" t="inlineStr">
        <is>
          <t>7+</t>
        </is>
      </c>
      <c r="G60" s="5" t="n"/>
      <c r="H60" s="6" t="n">
        <v>2.1</v>
      </c>
      <c r="I60" s="7">
        <f>IF(OR(G60="",H60=""),"",H60/G60-1)</f>
        <v/>
      </c>
      <c r="J60" s="6" t="n"/>
      <c r="K60" s="7">
        <f>IF(OR(H60="",J60=""),"",H60/J60-1)</f>
        <v/>
      </c>
      <c r="L60" s="8" t="n"/>
      <c r="M60" s="9" t="n"/>
      <c r="N60" s="10" t="inlineStr">
        <is>
          <t>No projection yet.</t>
        </is>
      </c>
      <c r="O60" s="11">
        <f>IF(OR(I60="",I60&lt;=0,H60&lt;=1),"",MIN(I60/(H60-1),Summary!$B$32)*Summary!$B$31*Summary!$B$30)</f>
        <v/>
      </c>
      <c r="P60" s="12">
        <f>IF(B60="",0,IF(COUNTIF($B$2:B60,B60)=1,1,0))</f>
        <v/>
      </c>
    </row>
    <row r="61">
      <c r="A61" s="2" t="n">
        <v>46270</v>
      </c>
      <c r="B61" s="3" t="inlineStr">
        <is>
          <t>Brazil Serie A</t>
        </is>
      </c>
      <c r="C61" s="3" t="inlineStr">
        <is>
          <t>Ceara v Sport Recife</t>
        </is>
      </c>
      <c r="D61" s="3" t="inlineStr">
        <is>
          <t>Ceara</t>
        </is>
      </c>
      <c r="E61" s="4" t="n"/>
      <c r="F61" s="3" t="inlineStr">
        <is>
          <t>6+</t>
        </is>
      </c>
      <c r="G61" s="5" t="n"/>
      <c r="H61" s="6" t="n">
        <v>2.1</v>
      </c>
      <c r="I61" s="7">
        <f>IF(OR(G61="",H61=""),"",H61/G61-1)</f>
        <v/>
      </c>
      <c r="J61" s="6" t="n"/>
      <c r="K61" s="7">
        <f>IF(OR(H61="",J61=""),"",H61/J61-1)</f>
        <v/>
      </c>
      <c r="L61" s="8" t="n"/>
      <c r="M61" s="9" t="n"/>
      <c r="N61" s="10" t="inlineStr">
        <is>
          <t>No projection yet.</t>
        </is>
      </c>
      <c r="O61" s="11">
        <f>IF(OR(I61="",I61&lt;=0,H61&lt;=1),"",MIN(I61/(H61-1),Summary!$B$32)*Summary!$B$31*Summary!$B$30)</f>
        <v/>
      </c>
      <c r="P61" s="12">
        <f>IF(B61="",0,IF(COUNTIF($B$2:B61,B61)=1,1,0))</f>
        <v/>
      </c>
    </row>
    <row r="62">
      <c r="A62" s="2" t="n">
        <v>46271</v>
      </c>
      <c r="B62" s="3" t="inlineStr">
        <is>
          <t>USA MLS</t>
        </is>
      </c>
      <c r="C62" s="3" t="inlineStr">
        <is>
          <t>Vancouver v Atlanta</t>
        </is>
      </c>
      <c r="D62" s="3" t="inlineStr">
        <is>
          <t>Vancouver</t>
        </is>
      </c>
      <c r="E62" s="4" t="n"/>
      <c r="F62" s="3" t="inlineStr">
        <is>
          <t>7+</t>
        </is>
      </c>
      <c r="G62" s="5" t="n"/>
      <c r="H62" s="6" t="n">
        <v>2.1</v>
      </c>
      <c r="I62" s="7">
        <f>IF(OR(G62="",H62=""),"",H62/G62-1)</f>
        <v/>
      </c>
      <c r="J62" s="6" t="n"/>
      <c r="K62" s="7">
        <f>IF(OR(H62="",J62=""),"",H62/J62-1)</f>
        <v/>
      </c>
      <c r="L62" s="8" t="n"/>
      <c r="M62" s="9" t="n"/>
      <c r="N62" s="10" t="inlineStr">
        <is>
          <t>No projection yet.</t>
        </is>
      </c>
      <c r="O62" s="11">
        <f>IF(OR(I62="",I62&lt;=0,H62&lt;=1),"",MIN(I62/(H62-1),Summary!$B$32)*Summary!$B$31*Summary!$B$30)</f>
        <v/>
      </c>
      <c r="P62" s="12">
        <f>IF(B62="",0,IF(COUNTIF($B$2:B62,B62)=1,1,0))</f>
        <v/>
      </c>
    </row>
    <row r="63">
      <c r="A63" s="2" t="n">
        <v>46271</v>
      </c>
      <c r="B63" s="3" t="inlineStr">
        <is>
          <t>Brazil Serie A</t>
        </is>
      </c>
      <c r="C63" s="3" t="inlineStr">
        <is>
          <t>Botafogo v Palmeiras</t>
        </is>
      </c>
      <c r="D63" s="3" t="inlineStr">
        <is>
          <t>Botafogo</t>
        </is>
      </c>
      <c r="E63" s="4" t="n"/>
      <c r="F63" s="3" t="inlineStr">
        <is>
          <t>6+</t>
        </is>
      </c>
      <c r="G63" s="5" t="n"/>
      <c r="H63" s="6" t="n">
        <v>2.25</v>
      </c>
      <c r="I63" s="7">
        <f>IF(OR(G63="",H63=""),"",H63/G63-1)</f>
        <v/>
      </c>
      <c r="J63" s="6" t="n"/>
      <c r="K63" s="7">
        <f>IF(OR(H63="",J63=""),"",H63/J63-1)</f>
        <v/>
      </c>
      <c r="L63" s="8" t="n"/>
      <c r="M63" s="9" t="n"/>
      <c r="N63" s="10" t="inlineStr">
        <is>
          <t>No projection yet.</t>
        </is>
      </c>
      <c r="O63" s="11">
        <f>IF(OR(I63="",I63&lt;=0,H63&lt;=1),"",MIN(I63/(H63-1),Summary!$B$32)*Summary!$B$31*Summary!$B$30)</f>
        <v/>
      </c>
      <c r="P63" s="12">
        <f>IF(B63="",0,IF(COUNTIF($B$2:B63,B63)=1,1,0))</f>
        <v/>
      </c>
    </row>
    <row r="64">
      <c r="A64" s="2" t="n"/>
      <c r="B64" s="3" t="n"/>
      <c r="C64" s="3" t="n"/>
      <c r="D64" s="3" t="n"/>
      <c r="E64" s="4" t="n"/>
      <c r="F64" s="3" t="n"/>
      <c r="G64" s="5" t="n"/>
      <c r="H64" s="6" t="n"/>
      <c r="I64" s="7">
        <f>IF(OR(G64="",H64=""),"",H64/G64-1)</f>
        <v/>
      </c>
      <c r="J64" s="6" t="n"/>
      <c r="K64" s="7">
        <f>IF(OR(H64="",J64=""),"",H64/J64-1)</f>
        <v/>
      </c>
      <c r="L64" s="8" t="n"/>
      <c r="M64" s="9" t="n"/>
      <c r="N64" s="10" t="n"/>
      <c r="O64" s="11">
        <f>IF(OR(I64="",I64&lt;=0,H64&lt;=1),"",MIN(I64/(H64-1),Summary!$B$32)*Summary!$B$31*Summary!$B$30)</f>
        <v/>
      </c>
      <c r="P64" s="12">
        <f>IF(B64="",0,IF(COUNTIF($B$2:B64,B64)=1,1,0))</f>
        <v/>
      </c>
    </row>
    <row r="65">
      <c r="A65" s="2" t="n"/>
      <c r="B65" s="3" t="n"/>
      <c r="C65" s="3" t="n"/>
      <c r="D65" s="3" t="n"/>
      <c r="E65" s="4" t="n"/>
      <c r="F65" s="3" t="n"/>
      <c r="G65" s="5" t="n"/>
      <c r="H65" s="6" t="n"/>
      <c r="I65" s="7">
        <f>IF(OR(G65="",H65=""),"",H65/G65-1)</f>
        <v/>
      </c>
      <c r="J65" s="6" t="n"/>
      <c r="K65" s="7">
        <f>IF(OR(H65="",J65=""),"",H65/J65-1)</f>
        <v/>
      </c>
      <c r="L65" s="8" t="n"/>
      <c r="M65" s="9" t="n"/>
      <c r="N65" s="10" t="n"/>
      <c r="O65" s="11">
        <f>IF(OR(I65="",I65&lt;=0,H65&lt;=1),"",MIN(I65/(H65-1),Summary!$B$32)*Summary!$B$31*Summary!$B$30)</f>
        <v/>
      </c>
      <c r="P65" s="12">
        <f>IF(B65="",0,IF(COUNTIF($B$2:B65,B65)=1,1,0))</f>
        <v/>
      </c>
    </row>
    <row r="66">
      <c r="A66" s="2" t="n"/>
      <c r="B66" s="3" t="n"/>
      <c r="C66" s="3" t="n"/>
      <c r="D66" s="3" t="n"/>
      <c r="E66" s="4" t="n"/>
      <c r="F66" s="3" t="n"/>
      <c r="G66" s="5" t="n"/>
      <c r="H66" s="6" t="n"/>
      <c r="I66" s="7">
        <f>IF(OR(G66="",H66=""),"",H66/G66-1)</f>
        <v/>
      </c>
      <c r="J66" s="6" t="n"/>
      <c r="K66" s="7">
        <f>IF(OR(H66="",J66=""),"",H66/J66-1)</f>
        <v/>
      </c>
      <c r="L66" s="8" t="n"/>
      <c r="M66" s="9" t="n"/>
      <c r="N66" s="10" t="n"/>
      <c r="O66" s="11">
        <f>IF(OR(I66="",I66&lt;=0,H66&lt;=1),"",MIN(I66/(H66-1),Summary!$B$32)*Summary!$B$31*Summary!$B$30)</f>
        <v/>
      </c>
      <c r="P66" s="12">
        <f>IF(B66="",0,IF(COUNTIF($B$2:B66,B66)=1,1,0))</f>
        <v/>
      </c>
    </row>
    <row r="67">
      <c r="A67" s="2" t="n"/>
      <c r="B67" s="3" t="n"/>
      <c r="C67" s="3" t="n"/>
      <c r="D67" s="3" t="n"/>
      <c r="E67" s="4" t="n"/>
      <c r="F67" s="3" t="n"/>
      <c r="G67" s="5" t="n"/>
      <c r="H67" s="6" t="n"/>
      <c r="I67" s="7">
        <f>IF(OR(G67="",H67=""),"",H67/G67-1)</f>
        <v/>
      </c>
      <c r="J67" s="6" t="n"/>
      <c r="K67" s="7">
        <f>IF(OR(H67="",J67=""),"",H67/J67-1)</f>
        <v/>
      </c>
      <c r="L67" s="8" t="n"/>
      <c r="M67" s="9" t="n"/>
      <c r="N67" s="10" t="n"/>
      <c r="O67" s="11">
        <f>IF(OR(I67="",I67&lt;=0,H67&lt;=1),"",MIN(I67/(H67-1),Summary!$B$32)*Summary!$B$31*Summary!$B$30)</f>
        <v/>
      </c>
      <c r="P67" s="12">
        <f>IF(B67="",0,IF(COUNTIF($B$2:B67,B67)=1,1,0))</f>
        <v/>
      </c>
    </row>
    <row r="68">
      <c r="A68" s="2" t="n"/>
      <c r="B68" s="3" t="n"/>
      <c r="C68" s="3" t="n"/>
      <c r="D68" s="3" t="n"/>
      <c r="E68" s="4" t="n"/>
      <c r="F68" s="3" t="n"/>
      <c r="G68" s="5" t="n"/>
      <c r="H68" s="6" t="n"/>
      <c r="I68" s="7">
        <f>IF(OR(G68="",H68=""),"",H68/G68-1)</f>
        <v/>
      </c>
      <c r="J68" s="6" t="n"/>
      <c r="K68" s="7">
        <f>IF(OR(H68="",J68=""),"",H68/J68-1)</f>
        <v/>
      </c>
      <c r="L68" s="8" t="n"/>
      <c r="M68" s="9" t="n"/>
      <c r="N68" s="10" t="n"/>
      <c r="O68" s="11">
        <f>IF(OR(I68="",I68&lt;=0,H68&lt;=1),"",MIN(I68/(H68-1),Summary!$B$32)*Summary!$B$31*Summary!$B$30)</f>
        <v/>
      </c>
      <c r="P68" s="12">
        <f>IF(B68="",0,IF(COUNTIF($B$2:B68,B68)=1,1,0))</f>
        <v/>
      </c>
    </row>
    <row r="69">
      <c r="A69" s="2" t="n"/>
      <c r="B69" s="3" t="n"/>
      <c r="C69" s="3" t="n"/>
      <c r="D69" s="3" t="n"/>
      <c r="E69" s="4" t="n"/>
      <c r="F69" s="3" t="n"/>
      <c r="G69" s="5" t="n"/>
      <c r="H69" s="6" t="n"/>
      <c r="I69" s="7">
        <f>IF(OR(G69="",H69=""),"",H69/G69-1)</f>
        <v/>
      </c>
      <c r="J69" s="6" t="n"/>
      <c r="K69" s="7">
        <f>IF(OR(H69="",J69=""),"",H69/J69-1)</f>
        <v/>
      </c>
      <c r="L69" s="8" t="n"/>
      <c r="M69" s="9" t="n"/>
      <c r="N69" s="10" t="n"/>
      <c r="O69" s="11">
        <f>IF(OR(I69="",I69&lt;=0,H69&lt;=1),"",MIN(I69/(H69-1),Summary!$B$32)*Summary!$B$31*Summary!$B$30)</f>
        <v/>
      </c>
      <c r="P69" s="12">
        <f>IF(B69="",0,IF(COUNTIF($B$2:B69,B69)=1,1,0))</f>
        <v/>
      </c>
    </row>
    <row r="70">
      <c r="A70" s="2" t="n"/>
      <c r="B70" s="3" t="n"/>
      <c r="C70" s="3" t="n"/>
      <c r="D70" s="3" t="n"/>
      <c r="E70" s="4" t="n"/>
      <c r="F70" s="3" t="n"/>
      <c r="G70" s="5" t="n"/>
      <c r="H70" s="6" t="n"/>
      <c r="I70" s="7">
        <f>IF(OR(G70="",H70=""),"",H70/G70-1)</f>
        <v/>
      </c>
      <c r="J70" s="6" t="n"/>
      <c r="K70" s="7">
        <f>IF(OR(H70="",J70=""),"",H70/J70-1)</f>
        <v/>
      </c>
      <c r="L70" s="8" t="n"/>
      <c r="M70" s="9" t="n"/>
      <c r="N70" s="10" t="n"/>
      <c r="O70" s="11">
        <f>IF(OR(I70="",I70&lt;=0,H70&lt;=1),"",MIN(I70/(H70-1),Summary!$B$32)*Summary!$B$31*Summary!$B$30)</f>
        <v/>
      </c>
      <c r="P70" s="12">
        <f>IF(B70="",0,IF(COUNTIF($B$2:B70,B70)=1,1,0))</f>
        <v/>
      </c>
    </row>
    <row r="71">
      <c r="A71" s="2" t="n"/>
      <c r="B71" s="3" t="n"/>
      <c r="C71" s="3" t="n"/>
      <c r="D71" s="3" t="n"/>
      <c r="E71" s="4" t="n"/>
      <c r="F71" s="3" t="n"/>
      <c r="G71" s="5" t="n"/>
      <c r="H71" s="6" t="n"/>
      <c r="I71" s="7">
        <f>IF(OR(G71="",H71=""),"",H71/G71-1)</f>
        <v/>
      </c>
      <c r="J71" s="6" t="n"/>
      <c r="K71" s="7">
        <f>IF(OR(H71="",J71=""),"",H71/J71-1)</f>
        <v/>
      </c>
      <c r="L71" s="8" t="n"/>
      <c r="M71" s="9" t="n"/>
      <c r="N71" s="10" t="n"/>
      <c r="O71" s="11">
        <f>IF(OR(I71="",I71&lt;=0,H71&lt;=1),"",MIN(I71/(H71-1),Summary!$B$32)*Summary!$B$31*Summary!$B$30)</f>
        <v/>
      </c>
      <c r="P71" s="12">
        <f>IF(B71="",0,IF(COUNTIF($B$2:B71,B71)=1,1,0))</f>
        <v/>
      </c>
    </row>
    <row r="72">
      <c r="A72" s="2" t="n"/>
      <c r="B72" s="3" t="n"/>
      <c r="C72" s="3" t="n"/>
      <c r="D72" s="3" t="n"/>
      <c r="E72" s="4" t="n"/>
      <c r="F72" s="3" t="n"/>
      <c r="G72" s="5" t="n"/>
      <c r="H72" s="6" t="n"/>
      <c r="I72" s="7">
        <f>IF(OR(G72="",H72=""),"",H72/G72-1)</f>
        <v/>
      </c>
      <c r="J72" s="6" t="n"/>
      <c r="K72" s="7">
        <f>IF(OR(H72="",J72=""),"",H72/J72-1)</f>
        <v/>
      </c>
      <c r="L72" s="8" t="n"/>
      <c r="M72" s="9" t="n"/>
      <c r="N72" s="10" t="n"/>
      <c r="O72" s="11">
        <f>IF(OR(I72="",I72&lt;=0,H72&lt;=1),"",MIN(I72/(H72-1),Summary!$B$32)*Summary!$B$31*Summary!$B$30)</f>
        <v/>
      </c>
      <c r="P72" s="12">
        <f>IF(B72="",0,IF(COUNTIF($B$2:B72,B72)=1,1,0))</f>
        <v/>
      </c>
    </row>
    <row r="73">
      <c r="A73" s="2" t="n"/>
      <c r="B73" s="3" t="n"/>
      <c r="C73" s="3" t="n"/>
      <c r="D73" s="3" t="n"/>
      <c r="E73" s="4" t="n"/>
      <c r="F73" s="3" t="n"/>
      <c r="G73" s="5" t="n"/>
      <c r="H73" s="6" t="n"/>
      <c r="I73" s="7">
        <f>IF(OR(G73="",H73=""),"",H73/G73-1)</f>
        <v/>
      </c>
      <c r="J73" s="6" t="n"/>
      <c r="K73" s="7">
        <f>IF(OR(H73="",J73=""),"",H73/J73-1)</f>
        <v/>
      </c>
      <c r="L73" s="8" t="n"/>
      <c r="M73" s="9" t="n"/>
      <c r="N73" s="10" t="n"/>
      <c r="O73" s="11">
        <f>IF(OR(I73="",I73&lt;=0,H73&lt;=1),"",MIN(I73/(H73-1),Summary!$B$32)*Summary!$B$31*Summary!$B$30)</f>
        <v/>
      </c>
      <c r="P73" s="12">
        <f>IF(B73="",0,IF(COUNTIF($B$2:B73,B73)=1,1,0))</f>
        <v/>
      </c>
    </row>
    <row r="74">
      <c r="A74" s="2" t="n"/>
      <c r="B74" s="3" t="n"/>
      <c r="C74" s="3" t="n"/>
      <c r="D74" s="3" t="n"/>
      <c r="E74" s="4" t="n"/>
      <c r="F74" s="3" t="n"/>
      <c r="G74" s="5" t="n"/>
      <c r="H74" s="6" t="n"/>
      <c r="I74" s="7">
        <f>IF(OR(G74="",H74=""),"",H74/G74-1)</f>
        <v/>
      </c>
      <c r="J74" s="6" t="n"/>
      <c r="K74" s="7">
        <f>IF(OR(H74="",J74=""),"",H74/J74-1)</f>
        <v/>
      </c>
      <c r="L74" s="8" t="n"/>
      <c r="M74" s="9" t="n"/>
      <c r="N74" s="10" t="n"/>
      <c r="O74" s="11">
        <f>IF(OR(I74="",I74&lt;=0,H74&lt;=1),"",MIN(I74/(H74-1),Summary!$B$32)*Summary!$B$31*Summary!$B$30)</f>
        <v/>
      </c>
      <c r="P74" s="12">
        <f>IF(B74="",0,IF(COUNTIF($B$2:B74,B74)=1,1,0))</f>
        <v/>
      </c>
    </row>
    <row r="75">
      <c r="A75" s="2" t="n"/>
      <c r="B75" s="3" t="n"/>
      <c r="C75" s="3" t="n"/>
      <c r="D75" s="3" t="n"/>
      <c r="E75" s="4" t="n"/>
      <c r="F75" s="3" t="n"/>
      <c r="G75" s="5" t="n"/>
      <c r="H75" s="6" t="n"/>
      <c r="I75" s="7">
        <f>IF(OR(G75="",H75=""),"",H75/G75-1)</f>
        <v/>
      </c>
      <c r="J75" s="6" t="n"/>
      <c r="K75" s="7">
        <f>IF(OR(H75="",J75=""),"",H75/J75-1)</f>
        <v/>
      </c>
      <c r="L75" s="8" t="n"/>
      <c r="M75" s="9" t="n"/>
      <c r="N75" s="10" t="n"/>
      <c r="O75" s="11">
        <f>IF(OR(I75="",I75&lt;=0,H75&lt;=1),"",MIN(I75/(H75-1),Summary!$B$32)*Summary!$B$31*Summary!$B$30)</f>
        <v/>
      </c>
      <c r="P75" s="12">
        <f>IF(B75="",0,IF(COUNTIF($B$2:B75,B75)=1,1,0))</f>
        <v/>
      </c>
    </row>
    <row r="76">
      <c r="A76" s="2" t="n"/>
      <c r="B76" s="3" t="n"/>
      <c r="C76" s="3" t="n"/>
      <c r="D76" s="3" t="n"/>
      <c r="E76" s="4" t="n"/>
      <c r="F76" s="3" t="n"/>
      <c r="G76" s="5" t="n"/>
      <c r="H76" s="6" t="n"/>
      <c r="I76" s="7">
        <f>IF(OR(G76="",H76=""),"",H76/G76-1)</f>
        <v/>
      </c>
      <c r="J76" s="6" t="n"/>
      <c r="K76" s="7">
        <f>IF(OR(H76="",J76=""),"",H76/J76-1)</f>
        <v/>
      </c>
      <c r="L76" s="8" t="n"/>
      <c r="M76" s="9" t="n"/>
      <c r="N76" s="10" t="n"/>
      <c r="O76" s="11">
        <f>IF(OR(I76="",I76&lt;=0,H76&lt;=1),"",MIN(I76/(H76-1),Summary!$B$32)*Summary!$B$31*Summary!$B$30)</f>
        <v/>
      </c>
      <c r="P76" s="12">
        <f>IF(B76="",0,IF(COUNTIF($B$2:B76,B76)=1,1,0))</f>
        <v/>
      </c>
    </row>
    <row r="77">
      <c r="A77" s="2" t="n"/>
      <c r="B77" s="3" t="n"/>
      <c r="C77" s="3" t="n"/>
      <c r="D77" s="3" t="n"/>
      <c r="E77" s="4" t="n"/>
      <c r="F77" s="3" t="n"/>
      <c r="G77" s="5" t="n"/>
      <c r="H77" s="6" t="n"/>
      <c r="I77" s="7">
        <f>IF(OR(G77="",H77=""),"",H77/G77-1)</f>
        <v/>
      </c>
      <c r="J77" s="6" t="n"/>
      <c r="K77" s="7">
        <f>IF(OR(H77="",J77=""),"",H77/J77-1)</f>
        <v/>
      </c>
      <c r="L77" s="8" t="n"/>
      <c r="M77" s="9" t="n"/>
      <c r="N77" s="10" t="n"/>
      <c r="O77" s="11">
        <f>IF(OR(I77="",I77&lt;=0,H77&lt;=1),"",MIN(I77/(H77-1),Summary!$B$32)*Summary!$B$31*Summary!$B$30)</f>
        <v/>
      </c>
      <c r="P77" s="12">
        <f>IF(B77="",0,IF(COUNTIF($B$2:B77,B77)=1,1,0))</f>
        <v/>
      </c>
    </row>
    <row r="78">
      <c r="A78" s="2" t="n"/>
      <c r="B78" s="3" t="n"/>
      <c r="C78" s="3" t="n"/>
      <c r="D78" s="3" t="n"/>
      <c r="E78" s="4" t="n"/>
      <c r="F78" s="3" t="n"/>
      <c r="G78" s="5" t="n"/>
      <c r="H78" s="6" t="n"/>
      <c r="I78" s="7">
        <f>IF(OR(G78="",H78=""),"",H78/G78-1)</f>
        <v/>
      </c>
      <c r="J78" s="6" t="n"/>
      <c r="K78" s="7">
        <f>IF(OR(H78="",J78=""),"",H78/J78-1)</f>
        <v/>
      </c>
      <c r="L78" s="8" t="n"/>
      <c r="M78" s="9" t="n"/>
      <c r="N78" s="10" t="n"/>
      <c r="O78" s="11">
        <f>IF(OR(I78="",I78&lt;=0,H78&lt;=1),"",MIN(I78/(H78-1),Summary!$B$32)*Summary!$B$31*Summary!$B$30)</f>
        <v/>
      </c>
      <c r="P78" s="12">
        <f>IF(B78="",0,IF(COUNTIF($B$2:B78,B78)=1,1,0))</f>
        <v/>
      </c>
    </row>
    <row r="79">
      <c r="A79" s="2" t="n"/>
      <c r="B79" s="3" t="n"/>
      <c r="C79" s="3" t="n"/>
      <c r="D79" s="3" t="n"/>
      <c r="E79" s="4" t="n"/>
      <c r="F79" s="3" t="n"/>
      <c r="G79" s="5" t="n"/>
      <c r="H79" s="6" t="n"/>
      <c r="I79" s="7">
        <f>IF(OR(G79="",H79=""),"",H79/G79-1)</f>
        <v/>
      </c>
      <c r="J79" s="6" t="n"/>
      <c r="K79" s="7">
        <f>IF(OR(H79="",J79=""),"",H79/J79-1)</f>
        <v/>
      </c>
      <c r="L79" s="8" t="n"/>
      <c r="M79" s="9" t="n"/>
      <c r="N79" s="10" t="n"/>
      <c r="O79" s="11">
        <f>IF(OR(I79="",I79&lt;=0,H79&lt;=1),"",MIN(I79/(H79-1),Summary!$B$32)*Summary!$B$31*Summary!$B$30)</f>
        <v/>
      </c>
      <c r="P79" s="12">
        <f>IF(B79="",0,IF(COUNTIF($B$2:B79,B79)=1,1,0))</f>
        <v/>
      </c>
    </row>
    <row r="80">
      <c r="A80" s="2" t="n"/>
      <c r="B80" s="3" t="n"/>
      <c r="C80" s="3" t="n"/>
      <c r="D80" s="3" t="n"/>
      <c r="E80" s="4" t="n"/>
      <c r="F80" s="3" t="n"/>
      <c r="G80" s="5" t="n"/>
      <c r="H80" s="6" t="n"/>
      <c r="I80" s="7">
        <f>IF(OR(G80="",H80=""),"",H80/G80-1)</f>
        <v/>
      </c>
      <c r="J80" s="6" t="n"/>
      <c r="K80" s="7">
        <f>IF(OR(H80="",J80=""),"",H80/J80-1)</f>
        <v/>
      </c>
      <c r="L80" s="8" t="n"/>
      <c r="M80" s="9" t="n"/>
      <c r="N80" s="10" t="n"/>
      <c r="O80" s="11">
        <f>IF(OR(I80="",I80&lt;=0,H80&lt;=1),"",MIN(I80/(H80-1),Summary!$B$32)*Summary!$B$31*Summary!$B$30)</f>
        <v/>
      </c>
      <c r="P80" s="12">
        <f>IF(B80="",0,IF(COUNTIF($B$2:B80,B80)=1,1,0))</f>
        <v/>
      </c>
    </row>
    <row r="81">
      <c r="A81" s="2" t="n"/>
      <c r="B81" s="3" t="n"/>
      <c r="C81" s="3" t="n"/>
      <c r="D81" s="3" t="n"/>
      <c r="E81" s="4" t="n"/>
      <c r="F81" s="3" t="n"/>
      <c r="G81" s="5" t="n"/>
      <c r="H81" s="6" t="n"/>
      <c r="I81" s="7">
        <f>IF(OR(G81="",H81=""),"",H81/G81-1)</f>
        <v/>
      </c>
      <c r="J81" s="6" t="n"/>
      <c r="K81" s="7">
        <f>IF(OR(H81="",J81=""),"",H81/J81-1)</f>
        <v/>
      </c>
      <c r="L81" s="8" t="n"/>
      <c r="M81" s="9" t="n"/>
      <c r="N81" s="10" t="n"/>
      <c r="O81" s="11">
        <f>IF(OR(I81="",I81&lt;=0,H81&lt;=1),"",MIN(I81/(H81-1),Summary!$B$32)*Summary!$B$31*Summary!$B$30)</f>
        <v/>
      </c>
      <c r="P81" s="12">
        <f>IF(B81="",0,IF(COUNTIF($B$2:B81,B81)=1,1,0))</f>
        <v/>
      </c>
    </row>
    <row r="82">
      <c r="A82" s="2" t="n"/>
      <c r="B82" s="3" t="n"/>
      <c r="C82" s="3" t="n"/>
      <c r="D82" s="3" t="n"/>
      <c r="E82" s="4" t="n"/>
      <c r="F82" s="3" t="n"/>
      <c r="G82" s="5" t="n"/>
      <c r="H82" s="6" t="n"/>
      <c r="I82" s="7">
        <f>IF(OR(G82="",H82=""),"",H82/G82-1)</f>
        <v/>
      </c>
      <c r="J82" s="6" t="n"/>
      <c r="K82" s="7">
        <f>IF(OR(H82="",J82=""),"",H82/J82-1)</f>
        <v/>
      </c>
      <c r="L82" s="8" t="n"/>
      <c r="M82" s="9" t="n"/>
      <c r="N82" s="10" t="n"/>
      <c r="O82" s="11">
        <f>IF(OR(I82="",I82&lt;=0,H82&lt;=1),"",MIN(I82/(H82-1),Summary!$B$32)*Summary!$B$31*Summary!$B$30)</f>
        <v/>
      </c>
      <c r="P82" s="12">
        <f>IF(B82="",0,IF(COUNTIF($B$2:B82,B82)=1,1,0))</f>
        <v/>
      </c>
    </row>
    <row r="83">
      <c r="A83" s="2" t="n"/>
      <c r="B83" s="3" t="n"/>
      <c r="C83" s="3" t="n"/>
      <c r="D83" s="3" t="n"/>
      <c r="E83" s="4" t="n"/>
      <c r="F83" s="3" t="n"/>
      <c r="G83" s="5" t="n"/>
      <c r="H83" s="6" t="n"/>
      <c r="I83" s="7">
        <f>IF(OR(G83="",H83=""),"",H83/G83-1)</f>
        <v/>
      </c>
      <c r="J83" s="6" t="n"/>
      <c r="K83" s="7">
        <f>IF(OR(H83="",J83=""),"",H83/J83-1)</f>
        <v/>
      </c>
      <c r="L83" s="8" t="n"/>
      <c r="M83" s="9" t="n"/>
      <c r="N83" s="10" t="n"/>
      <c r="O83" s="11">
        <f>IF(OR(I83="",I83&lt;=0,H83&lt;=1),"",MIN(I83/(H83-1),Summary!$B$32)*Summary!$B$31*Summary!$B$30)</f>
        <v/>
      </c>
      <c r="P83" s="12">
        <f>IF(B83="",0,IF(COUNTIF($B$2:B83,B83)=1,1,0))</f>
        <v/>
      </c>
    </row>
    <row r="84">
      <c r="A84" s="2" t="n"/>
      <c r="B84" s="3" t="n"/>
      <c r="C84" s="3" t="n"/>
      <c r="D84" s="3" t="n"/>
      <c r="E84" s="4" t="n"/>
      <c r="F84" s="3" t="n"/>
      <c r="G84" s="5" t="n"/>
      <c r="H84" s="6" t="n"/>
      <c r="I84" s="7">
        <f>IF(OR(G84="",H84=""),"",H84/G84-1)</f>
        <v/>
      </c>
      <c r="J84" s="6" t="n"/>
      <c r="K84" s="7">
        <f>IF(OR(H84="",J84=""),"",H84/J84-1)</f>
        <v/>
      </c>
      <c r="L84" s="8" t="n"/>
      <c r="M84" s="9" t="n"/>
      <c r="N84" s="10" t="n"/>
      <c r="O84" s="11">
        <f>IF(OR(I84="",I84&lt;=0,H84&lt;=1),"",MIN(I84/(H84-1),Summary!$B$32)*Summary!$B$31*Summary!$B$30)</f>
        <v/>
      </c>
      <c r="P84" s="12">
        <f>IF(B84="",0,IF(COUNTIF($B$2:B84,B84)=1,1,0))</f>
        <v/>
      </c>
    </row>
    <row r="85">
      <c r="A85" s="2" t="n"/>
      <c r="B85" s="3" t="n"/>
      <c r="C85" s="3" t="n"/>
      <c r="D85" s="3" t="n"/>
      <c r="E85" s="4" t="n"/>
      <c r="F85" s="3" t="n"/>
      <c r="G85" s="5" t="n"/>
      <c r="H85" s="6" t="n"/>
      <c r="I85" s="7">
        <f>IF(OR(G85="",H85=""),"",H85/G85-1)</f>
        <v/>
      </c>
      <c r="J85" s="6" t="n"/>
      <c r="K85" s="7">
        <f>IF(OR(H85="",J85=""),"",H85/J85-1)</f>
        <v/>
      </c>
      <c r="L85" s="8" t="n"/>
      <c r="M85" s="9" t="n"/>
      <c r="N85" s="10" t="n"/>
      <c r="O85" s="11">
        <f>IF(OR(I85="",I85&lt;=0,H85&lt;=1),"",MIN(I85/(H85-1),Summary!$B$32)*Summary!$B$31*Summary!$B$30)</f>
        <v/>
      </c>
      <c r="P85" s="12">
        <f>IF(B85="",0,IF(COUNTIF($B$2:B85,B85)=1,1,0))</f>
        <v/>
      </c>
    </row>
    <row r="86">
      <c r="A86" s="2" t="n"/>
      <c r="B86" s="3" t="n"/>
      <c r="C86" s="3" t="n"/>
      <c r="D86" s="3" t="n"/>
      <c r="E86" s="4" t="n"/>
      <c r="F86" s="3" t="n"/>
      <c r="G86" s="5" t="n"/>
      <c r="H86" s="6" t="n"/>
      <c r="I86" s="7">
        <f>IF(OR(G86="",H86=""),"",H86/G86-1)</f>
        <v/>
      </c>
      <c r="J86" s="6" t="n"/>
      <c r="K86" s="7">
        <f>IF(OR(H86="",J86=""),"",H86/J86-1)</f>
        <v/>
      </c>
      <c r="L86" s="8" t="n"/>
      <c r="M86" s="9" t="n"/>
      <c r="N86" s="10" t="n"/>
      <c r="O86" s="11">
        <f>IF(OR(I86="",I86&lt;=0,H86&lt;=1),"",MIN(I86/(H86-1),Summary!$B$32)*Summary!$B$31*Summary!$B$30)</f>
        <v/>
      </c>
      <c r="P86" s="12">
        <f>IF(B86="",0,IF(COUNTIF($B$2:B86,B86)=1,1,0))</f>
        <v/>
      </c>
    </row>
    <row r="87">
      <c r="A87" s="2" t="n"/>
      <c r="B87" s="3" t="n"/>
      <c r="C87" s="3" t="n"/>
      <c r="D87" s="3" t="n"/>
      <c r="E87" s="4" t="n"/>
      <c r="F87" s="3" t="n"/>
      <c r="G87" s="5" t="n"/>
      <c r="H87" s="6" t="n"/>
      <c r="I87" s="7">
        <f>IF(OR(G87="",H87=""),"",H87/G87-1)</f>
        <v/>
      </c>
      <c r="J87" s="6" t="n"/>
      <c r="K87" s="7">
        <f>IF(OR(H87="",J87=""),"",H87/J87-1)</f>
        <v/>
      </c>
      <c r="L87" s="8" t="n"/>
      <c r="M87" s="9" t="n"/>
      <c r="N87" s="10" t="n"/>
      <c r="O87" s="11">
        <f>IF(OR(I87="",I87&lt;=0,H87&lt;=1),"",MIN(I87/(H87-1),Summary!$B$32)*Summary!$B$31*Summary!$B$30)</f>
        <v/>
      </c>
      <c r="P87" s="12">
        <f>IF(B87="",0,IF(COUNTIF($B$2:B87,B87)=1,1,0))</f>
        <v/>
      </c>
    </row>
    <row r="88">
      <c r="A88" s="2" t="n"/>
      <c r="B88" s="3" t="n"/>
      <c r="C88" s="3" t="n"/>
      <c r="D88" s="3" t="n"/>
      <c r="E88" s="4" t="n"/>
      <c r="F88" s="3" t="n"/>
      <c r="G88" s="5" t="n"/>
      <c r="H88" s="6" t="n"/>
      <c r="I88" s="7">
        <f>IF(OR(G88="",H88=""),"",H88/G88-1)</f>
        <v/>
      </c>
      <c r="J88" s="6" t="n"/>
      <c r="K88" s="7">
        <f>IF(OR(H88="",J88=""),"",H88/J88-1)</f>
        <v/>
      </c>
      <c r="L88" s="8" t="n"/>
      <c r="M88" s="9" t="n"/>
      <c r="N88" s="10" t="n"/>
      <c r="O88" s="11">
        <f>IF(OR(I88="",I88&lt;=0,H88&lt;=1),"",MIN(I88/(H88-1),Summary!$B$32)*Summary!$B$31*Summary!$B$30)</f>
        <v/>
      </c>
      <c r="P88" s="12">
        <f>IF(B88="",0,IF(COUNTIF($B$2:B88,B88)=1,1,0))</f>
        <v/>
      </c>
    </row>
    <row r="89">
      <c r="A89" s="2" t="n"/>
      <c r="B89" s="3" t="n"/>
      <c r="C89" s="3" t="n"/>
      <c r="D89" s="3" t="n"/>
      <c r="E89" s="4" t="n"/>
      <c r="F89" s="3" t="n"/>
      <c r="G89" s="5" t="n"/>
      <c r="H89" s="6" t="n"/>
      <c r="I89" s="7">
        <f>IF(OR(G89="",H89=""),"",H89/G89-1)</f>
        <v/>
      </c>
      <c r="J89" s="6" t="n"/>
      <c r="K89" s="7">
        <f>IF(OR(H89="",J89=""),"",H89/J89-1)</f>
        <v/>
      </c>
      <c r="L89" s="8" t="n"/>
      <c r="M89" s="9" t="n"/>
      <c r="N89" s="10" t="n"/>
      <c r="O89" s="11">
        <f>IF(OR(I89="",I89&lt;=0,H89&lt;=1),"",MIN(I89/(H89-1),Summary!$B$32)*Summary!$B$31*Summary!$B$30)</f>
        <v/>
      </c>
      <c r="P89" s="12">
        <f>IF(B89="",0,IF(COUNTIF($B$2:B89,B89)=1,1,0))</f>
        <v/>
      </c>
    </row>
    <row r="90">
      <c r="A90" s="2" t="n"/>
      <c r="B90" s="3" t="n"/>
      <c r="C90" s="3" t="n"/>
      <c r="D90" s="3" t="n"/>
      <c r="E90" s="4" t="n"/>
      <c r="F90" s="3" t="n"/>
      <c r="G90" s="5" t="n"/>
      <c r="H90" s="6" t="n"/>
      <c r="I90" s="7">
        <f>IF(OR(G90="",H90=""),"",H90/G90-1)</f>
        <v/>
      </c>
      <c r="J90" s="6" t="n"/>
      <c r="K90" s="7">
        <f>IF(OR(H90="",J90=""),"",H90/J90-1)</f>
        <v/>
      </c>
      <c r="L90" s="8" t="n"/>
      <c r="M90" s="9" t="n"/>
      <c r="N90" s="10" t="n"/>
      <c r="O90" s="11">
        <f>IF(OR(I90="",I90&lt;=0,H90&lt;=1),"",MIN(I90/(H90-1),Summary!$B$32)*Summary!$B$31*Summary!$B$30)</f>
        <v/>
      </c>
      <c r="P90" s="12">
        <f>IF(B90="",0,IF(COUNTIF($B$2:B90,B90)=1,1,0))</f>
        <v/>
      </c>
    </row>
    <row r="91">
      <c r="A91" s="2" t="n"/>
      <c r="B91" s="3" t="n"/>
      <c r="C91" s="3" t="n"/>
      <c r="D91" s="3" t="n"/>
      <c r="E91" s="4" t="n"/>
      <c r="F91" s="3" t="n"/>
      <c r="G91" s="5" t="n"/>
      <c r="H91" s="6" t="n"/>
      <c r="I91" s="7">
        <f>IF(OR(G91="",H91=""),"",H91/G91-1)</f>
        <v/>
      </c>
      <c r="J91" s="6" t="n"/>
      <c r="K91" s="7">
        <f>IF(OR(H91="",J91=""),"",H91/J91-1)</f>
        <v/>
      </c>
      <c r="L91" s="8" t="n"/>
      <c r="M91" s="9" t="n"/>
      <c r="N91" s="10" t="n"/>
      <c r="O91" s="11">
        <f>IF(OR(I91="",I91&lt;=0,H91&lt;=1),"",MIN(I91/(H91-1),Summary!$B$32)*Summary!$B$31*Summary!$B$30)</f>
        <v/>
      </c>
      <c r="P91" s="12">
        <f>IF(B91="",0,IF(COUNTIF($B$2:B91,B91)=1,1,0))</f>
        <v/>
      </c>
    </row>
    <row r="92">
      <c r="A92" s="2" t="n"/>
      <c r="B92" s="3" t="n"/>
      <c r="C92" s="3" t="n"/>
      <c r="D92" s="3" t="n"/>
      <c r="E92" s="4" t="n"/>
      <c r="F92" s="3" t="n"/>
      <c r="G92" s="5" t="n"/>
      <c r="H92" s="6" t="n"/>
      <c r="I92" s="7">
        <f>IF(OR(G92="",H92=""),"",H92/G92-1)</f>
        <v/>
      </c>
      <c r="J92" s="6" t="n"/>
      <c r="K92" s="7">
        <f>IF(OR(H92="",J92=""),"",H92/J92-1)</f>
        <v/>
      </c>
      <c r="L92" s="8" t="n"/>
      <c r="M92" s="9" t="n"/>
      <c r="N92" s="10" t="n"/>
      <c r="O92" s="11">
        <f>IF(OR(I92="",I92&lt;=0,H92&lt;=1),"",MIN(I92/(H92-1),Summary!$B$32)*Summary!$B$31*Summary!$B$30)</f>
        <v/>
      </c>
      <c r="P92" s="12">
        <f>IF(B92="",0,IF(COUNTIF($B$2:B92,B92)=1,1,0))</f>
        <v/>
      </c>
    </row>
    <row r="93">
      <c r="A93" s="2" t="n"/>
      <c r="B93" s="3" t="n"/>
      <c r="C93" s="3" t="n"/>
      <c r="D93" s="3" t="n"/>
      <c r="E93" s="4" t="n"/>
      <c r="F93" s="3" t="n"/>
      <c r="G93" s="5" t="n"/>
      <c r="H93" s="6" t="n"/>
      <c r="I93" s="7">
        <f>IF(OR(G93="",H93=""),"",H93/G93-1)</f>
        <v/>
      </c>
      <c r="J93" s="6" t="n"/>
      <c r="K93" s="7">
        <f>IF(OR(H93="",J93=""),"",H93/J93-1)</f>
        <v/>
      </c>
      <c r="L93" s="8" t="n"/>
      <c r="M93" s="9" t="n"/>
      <c r="N93" s="10" t="n"/>
      <c r="O93" s="11">
        <f>IF(OR(I93="",I93&lt;=0,H93&lt;=1),"",MIN(I93/(H93-1),Summary!$B$32)*Summary!$B$31*Summary!$B$30)</f>
        <v/>
      </c>
      <c r="P93" s="12">
        <f>IF(B93="",0,IF(COUNTIF($B$2:B93,B93)=1,1,0))</f>
        <v/>
      </c>
    </row>
    <row r="94">
      <c r="A94" s="2" t="n"/>
      <c r="B94" s="3" t="n"/>
      <c r="C94" s="3" t="n"/>
      <c r="D94" s="3" t="n"/>
      <c r="E94" s="4" t="n"/>
      <c r="F94" s="3" t="n"/>
      <c r="G94" s="5" t="n"/>
      <c r="H94" s="6" t="n"/>
      <c r="I94" s="7">
        <f>IF(OR(G94="",H94=""),"",H94/G94-1)</f>
        <v/>
      </c>
      <c r="J94" s="6" t="n"/>
      <c r="K94" s="7">
        <f>IF(OR(H94="",J94=""),"",H94/J94-1)</f>
        <v/>
      </c>
      <c r="L94" s="8" t="n"/>
      <c r="M94" s="9" t="n"/>
      <c r="N94" s="10" t="n"/>
      <c r="O94" s="11">
        <f>IF(OR(I94="",I94&lt;=0,H94&lt;=1),"",MIN(I94/(H94-1),Summary!$B$32)*Summary!$B$31*Summary!$B$30)</f>
        <v/>
      </c>
      <c r="P94" s="12">
        <f>IF(B94="",0,IF(COUNTIF($B$2:B94,B94)=1,1,0))</f>
        <v/>
      </c>
    </row>
    <row r="95">
      <c r="A95" s="2" t="n"/>
      <c r="B95" s="3" t="n"/>
      <c r="C95" s="3" t="n"/>
      <c r="D95" s="3" t="n"/>
      <c r="E95" s="4" t="n"/>
      <c r="F95" s="3" t="n"/>
      <c r="G95" s="5" t="n"/>
      <c r="H95" s="6" t="n"/>
      <c r="I95" s="7">
        <f>IF(OR(G95="",H95=""),"",H95/G95-1)</f>
        <v/>
      </c>
      <c r="J95" s="6" t="n"/>
      <c r="K95" s="7">
        <f>IF(OR(H95="",J95=""),"",H95/J95-1)</f>
        <v/>
      </c>
      <c r="L95" s="8" t="n"/>
      <c r="M95" s="9" t="n"/>
      <c r="N95" s="10" t="n"/>
      <c r="O95" s="11">
        <f>IF(OR(I95="",I95&lt;=0,H95&lt;=1),"",MIN(I95/(H95-1),Summary!$B$32)*Summary!$B$31*Summary!$B$30)</f>
        <v/>
      </c>
      <c r="P95" s="12">
        <f>IF(B95="",0,IF(COUNTIF($B$2:B95,B95)=1,1,0))</f>
        <v/>
      </c>
    </row>
    <row r="96">
      <c r="A96" s="2" t="n"/>
      <c r="B96" s="3" t="n"/>
      <c r="C96" s="3" t="n"/>
      <c r="D96" s="3" t="n"/>
      <c r="E96" s="4" t="n"/>
      <c r="F96" s="3" t="n"/>
      <c r="G96" s="5" t="n"/>
      <c r="H96" s="6" t="n"/>
      <c r="I96" s="7">
        <f>IF(OR(G96="",H96=""),"",H96/G96-1)</f>
        <v/>
      </c>
      <c r="J96" s="6" t="n"/>
      <c r="K96" s="7">
        <f>IF(OR(H96="",J96=""),"",H96/J96-1)</f>
        <v/>
      </c>
      <c r="L96" s="8" t="n"/>
      <c r="M96" s="9" t="n"/>
      <c r="N96" s="10" t="n"/>
      <c r="O96" s="11">
        <f>IF(OR(I96="",I96&lt;=0,H96&lt;=1),"",MIN(I96/(H96-1),Summary!$B$32)*Summary!$B$31*Summary!$B$30)</f>
        <v/>
      </c>
      <c r="P96" s="12">
        <f>IF(B96="",0,IF(COUNTIF($B$2:B96,B96)=1,1,0))</f>
        <v/>
      </c>
    </row>
    <row r="97">
      <c r="A97" s="2" t="n"/>
      <c r="B97" s="3" t="n"/>
      <c r="C97" s="3" t="n"/>
      <c r="D97" s="3" t="n"/>
      <c r="E97" s="4" t="n"/>
      <c r="F97" s="3" t="n"/>
      <c r="G97" s="5" t="n"/>
      <c r="H97" s="6" t="n"/>
      <c r="I97" s="7">
        <f>IF(OR(G97="",H97=""),"",H97/G97-1)</f>
        <v/>
      </c>
      <c r="J97" s="6" t="n"/>
      <c r="K97" s="7">
        <f>IF(OR(H97="",J97=""),"",H97/J97-1)</f>
        <v/>
      </c>
      <c r="L97" s="8" t="n"/>
      <c r="M97" s="9" t="n"/>
      <c r="N97" s="10" t="n"/>
      <c r="O97" s="11">
        <f>IF(OR(I97="",I97&lt;=0,H97&lt;=1),"",MIN(I97/(H97-1),Summary!$B$32)*Summary!$B$31*Summary!$B$30)</f>
        <v/>
      </c>
      <c r="P97" s="12">
        <f>IF(B97="",0,IF(COUNTIF($B$2:B97,B97)=1,1,0))</f>
        <v/>
      </c>
    </row>
    <row r="98">
      <c r="A98" s="2" t="n"/>
      <c r="B98" s="3" t="n"/>
      <c r="C98" s="3" t="n"/>
      <c r="D98" s="3" t="n"/>
      <c r="E98" s="4" t="n"/>
      <c r="F98" s="3" t="n"/>
      <c r="G98" s="5" t="n"/>
      <c r="H98" s="6" t="n"/>
      <c r="I98" s="7">
        <f>IF(OR(G98="",H98=""),"",H98/G98-1)</f>
        <v/>
      </c>
      <c r="J98" s="6" t="n"/>
      <c r="K98" s="7">
        <f>IF(OR(H98="",J98=""),"",H98/J98-1)</f>
        <v/>
      </c>
      <c r="L98" s="8" t="n"/>
      <c r="M98" s="9" t="n"/>
      <c r="N98" s="10" t="n"/>
      <c r="O98" s="11">
        <f>IF(OR(I98="",I98&lt;=0,H98&lt;=1),"",MIN(I98/(H98-1),Summary!$B$32)*Summary!$B$31*Summary!$B$30)</f>
        <v/>
      </c>
      <c r="P98" s="12">
        <f>IF(B98="",0,IF(COUNTIF($B$2:B98,B98)=1,1,0))</f>
        <v/>
      </c>
    </row>
    <row r="99">
      <c r="A99" s="2" t="n"/>
      <c r="B99" s="3" t="n"/>
      <c r="C99" s="3" t="n"/>
      <c r="D99" s="3" t="n"/>
      <c r="E99" s="4" t="n"/>
      <c r="F99" s="3" t="n"/>
      <c r="G99" s="5" t="n"/>
      <c r="H99" s="6" t="n"/>
      <c r="I99" s="7">
        <f>IF(OR(G99="",H99=""),"",H99/G99-1)</f>
        <v/>
      </c>
      <c r="J99" s="6" t="n"/>
      <c r="K99" s="7">
        <f>IF(OR(H99="",J99=""),"",H99/J99-1)</f>
        <v/>
      </c>
      <c r="L99" s="8" t="n"/>
      <c r="M99" s="9" t="n"/>
      <c r="N99" s="10" t="n"/>
      <c r="O99" s="11">
        <f>IF(OR(I99="",I99&lt;=0,H99&lt;=1),"",MIN(I99/(H99-1),Summary!$B$32)*Summary!$B$31*Summary!$B$30)</f>
        <v/>
      </c>
      <c r="P99" s="12">
        <f>IF(B99="",0,IF(COUNTIF($B$2:B99,B99)=1,1,0))</f>
        <v/>
      </c>
    </row>
    <row r="100">
      <c r="A100" s="2" t="n"/>
      <c r="B100" s="3" t="n"/>
      <c r="C100" s="3" t="n"/>
      <c r="D100" s="3" t="n"/>
      <c r="E100" s="4" t="n"/>
      <c r="F100" s="3" t="n"/>
      <c r="G100" s="5" t="n"/>
      <c r="H100" s="6" t="n"/>
      <c r="I100" s="7">
        <f>IF(OR(G100="",H100=""),"",H100/G100-1)</f>
        <v/>
      </c>
      <c r="J100" s="6" t="n"/>
      <c r="K100" s="7">
        <f>IF(OR(H100="",J100=""),"",H100/J100-1)</f>
        <v/>
      </c>
      <c r="L100" s="8" t="n"/>
      <c r="M100" s="9" t="n"/>
      <c r="N100" s="10" t="n"/>
      <c r="O100" s="11">
        <f>IF(OR(I100="",I100&lt;=0,H100&lt;=1),"",MIN(I100/(H100-1),Summary!$B$32)*Summary!$B$31*Summary!$B$30)</f>
        <v/>
      </c>
      <c r="P100" s="12">
        <f>IF(B100="",0,IF(COUNTIF($B$2:B100,B100)=1,1,0))</f>
        <v/>
      </c>
    </row>
    <row r="101">
      <c r="A101" s="2" t="n"/>
      <c r="B101" s="3" t="n"/>
      <c r="C101" s="3" t="n"/>
      <c r="D101" s="3" t="n"/>
      <c r="E101" s="4" t="n"/>
      <c r="F101" s="3" t="n"/>
      <c r="G101" s="5" t="n"/>
      <c r="H101" s="6" t="n"/>
      <c r="I101" s="7">
        <f>IF(OR(G101="",H101=""),"",H101/G101-1)</f>
        <v/>
      </c>
      <c r="J101" s="6" t="n"/>
      <c r="K101" s="7">
        <f>IF(OR(H101="",J101=""),"",H101/J101-1)</f>
        <v/>
      </c>
      <c r="L101" s="8" t="n"/>
      <c r="M101" s="9" t="n"/>
      <c r="N101" s="10" t="n"/>
      <c r="O101" s="11">
        <f>IF(OR(I101="",I101&lt;=0,H101&lt;=1),"",MIN(I101/(H101-1),Summary!$B$32)*Summary!$B$31*Summary!$B$30)</f>
        <v/>
      </c>
      <c r="P101" s="12">
        <f>IF(B101="",0,IF(COUNTIF($B$2:B101,B101)=1,1,0))</f>
        <v/>
      </c>
    </row>
  </sheetData>
  <autoFilter ref="A1:O101"/>
  <conditionalFormatting sqref="I2:I1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A2:O101">
    <cfRule type="expression" priority="3" dxfId="2">
      <formula>$M2="W"</formula>
    </cfRule>
    <cfRule type="expression" priority="4" dxfId="3">
      <formula>$M2="L"</formula>
    </cfRule>
  </conditionalFormatting>
  <dataValidations count="1">
    <dataValidation sqref="M2:M101" showDropDown="0" showInputMessage="0" showErrorMessage="0" allowBlank="1" error="Pick W (won), L (lost) or V (void)." type="list">
      <formula1>"W,L,V"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6" customWidth="1" min="3" max="3"/>
    <col width="20" customWidth="1" min="4" max="4"/>
    <col width="20" customWidth="1" min="5" max="5"/>
  </cols>
  <sheetData>
    <row r="1">
      <c r="A1" s="13" t="inlineStr">
        <is>
          <t>Corner ledger</t>
        </is>
      </c>
    </row>
    <row r="2">
      <c r="A2" s="14" t="inlineStr">
        <is>
          <t>Every figure recalculates from the Fixtures tab. Type only in the yellow cells.</t>
        </is>
      </c>
    </row>
    <row r="4">
      <c r="A4" s="15" t="inlineStr">
        <is>
          <t>Coverage</t>
        </is>
      </c>
    </row>
    <row r="5">
      <c r="A5" s="16" t="inlineStr">
        <is>
          <t>Fixtures</t>
        </is>
      </c>
      <c r="B5" s="12">
        <f>COUNTA(Fixtures!$C$2:$C$101)</f>
        <v/>
      </c>
      <c r="C5" s="17" t="inlineStr"/>
    </row>
    <row r="6">
      <c r="A6" s="16" t="inlineStr">
        <is>
          <t>Leagues</t>
        </is>
      </c>
      <c r="B6" s="12">
        <f>SUM(Fixtures!$P$2:$P$101)</f>
        <v/>
      </c>
      <c r="C6" s="17" t="inlineStr"/>
    </row>
    <row r="7">
      <c r="A7" s="16" t="inlineStr">
        <is>
          <t>Priced up</t>
        </is>
      </c>
      <c r="B7" s="12">
        <f>COUNT(Fixtures!$H$2:$H$101)</f>
        <v/>
      </c>
      <c r="C7" s="17" t="inlineStr">
        <is>
          <t>Rows where you've entered your odds</t>
        </is>
      </c>
    </row>
    <row r="8">
      <c r="A8" s="16" t="inlineStr">
        <is>
          <t>Still to price</t>
        </is>
      </c>
      <c r="B8" s="12">
        <f>$B$5-$B$7</f>
        <v/>
      </c>
      <c r="C8" s="17" t="inlineStr">
        <is>
          <t>Has a fixture but no price yet</t>
        </is>
      </c>
    </row>
    <row r="10">
      <c r="A10" s="15" t="inlineStr">
        <is>
          <t>Value</t>
        </is>
      </c>
    </row>
    <row r="11">
      <c r="A11" s="16" t="inlineStr">
        <is>
          <t>Average EV</t>
        </is>
      </c>
      <c r="B11" s="7">
        <f>IFERROR(AVERAGE(Fixtures!$I$2:$I$101),"")</f>
        <v/>
      </c>
      <c r="C11" s="17" t="inlineStr">
        <is>
          <t>Across priced rows only</t>
        </is>
      </c>
    </row>
    <row r="12">
      <c r="A12" s="16" t="inlineStr">
        <is>
          <t>Positive EV bets</t>
        </is>
      </c>
      <c r="B12" s="12">
        <f>COUNTIF(Fixtures!$I$2:$I$101,"&gt;0")</f>
        <v/>
      </c>
      <c r="C12" s="17" t="inlineStr"/>
    </row>
    <row r="13">
      <c r="A13" s="16" t="inlineStr">
        <is>
          <t>Negative EV bets</t>
        </is>
      </c>
      <c r="B13" s="12">
        <f>COUNTIF(Fixtures!$I$2:$I$101,"&lt;0")</f>
        <v/>
      </c>
      <c r="C13" s="17" t="inlineStr">
        <is>
          <t>Your reds</t>
        </is>
      </c>
    </row>
    <row r="14">
      <c r="A14" s="16" t="inlineStr">
        <is>
          <t>Best EV on the card</t>
        </is>
      </c>
      <c r="B14" s="7">
        <f>IFERROR(MAX(Fixtures!$I$2:$I$101),"")</f>
        <v/>
      </c>
      <c r="C14" s="17" t="inlineStr"/>
    </row>
    <row r="15">
      <c r="A15" s="16" t="inlineStr">
        <is>
          <t>Best EV fixture</t>
        </is>
      </c>
      <c r="B15" s="18">
        <f>IFERROR(INDEX(Fixtures!$C$2:$C$101,MATCH($B$14,Fixtures!$I$2:$I$101,0)),"")</f>
        <v/>
      </c>
      <c r="C15" s="17" t="inlineStr"/>
    </row>
    <row r="17">
      <c r="A17" s="15" t="inlineStr">
        <is>
          <t>Closing line value</t>
        </is>
      </c>
    </row>
    <row r="18">
      <c r="A18" s="16" t="inlineStr">
        <is>
          <t>Average CLV</t>
        </is>
      </c>
      <c r="B18" s="7">
        <f>IFERROR(AVERAGE(Fixtures!$K$2:$K$101),"needs closing prices")</f>
        <v/>
      </c>
      <c r="C18" s="17" t="inlineStr"/>
    </row>
    <row r="19">
      <c r="A19" s="16" t="inlineStr">
        <is>
          <t>Beat the close</t>
        </is>
      </c>
      <c r="B19" s="12">
        <f>COUNTIF(Fixtures!$K$2:$K$101,"&gt;0")</f>
        <v/>
      </c>
      <c r="C19" s="17" t="inlineStr"/>
    </row>
    <row r="20">
      <c r="A20" s="16" t="inlineStr">
        <is>
          <t>Beaten by the close</t>
        </is>
      </c>
      <c r="B20" s="12">
        <f>COUNTIF(Fixtures!$K$2:$K$101,"&lt;0")</f>
        <v/>
      </c>
      <c r="C20" s="17" t="inlineStr"/>
    </row>
    <row r="22">
      <c r="A22" s="15" t="inlineStr">
        <is>
          <t>Results</t>
        </is>
      </c>
    </row>
    <row r="23">
      <c r="A23" s="16" t="inlineStr">
        <is>
          <t>Won</t>
        </is>
      </c>
      <c r="B23" s="12">
        <f>COUNTIF(Fixtures!$M$2:$M$101,"W")</f>
        <v/>
      </c>
      <c r="C23" s="17" t="inlineStr"/>
    </row>
    <row r="24">
      <c r="A24" s="16" t="inlineStr">
        <is>
          <t>Lost</t>
        </is>
      </c>
      <c r="B24" s="12">
        <f>COUNTIF(Fixtures!$M$2:$M$101,"L")</f>
        <v/>
      </c>
      <c r="C24" s="17" t="inlineStr"/>
    </row>
    <row r="25">
      <c r="A25" s="16" t="inlineStr">
        <is>
          <t>Void</t>
        </is>
      </c>
      <c r="B25" s="12">
        <f>COUNTIF(Fixtures!$M$2:$M$101,"V")</f>
        <v/>
      </c>
      <c r="C25" s="17" t="inlineStr">
        <is>
          <t>Stake returned — excluded from strike rate</t>
        </is>
      </c>
    </row>
    <row r="26">
      <c r="A26" s="16" t="inlineStr">
        <is>
          <t>Settled</t>
        </is>
      </c>
      <c r="B26" s="12">
        <f>$B$23+$B$24</f>
        <v/>
      </c>
      <c r="C26" s="17" t="inlineStr"/>
    </row>
    <row r="27">
      <c r="A27" s="16" t="inlineStr">
        <is>
          <t>Strike rate</t>
        </is>
      </c>
      <c r="B27" s="7">
        <f>IFERROR($B$23/$B$26,"")</f>
        <v/>
      </c>
      <c r="C27" s="17" t="inlineStr">
        <is>
          <t>Voids excluded</t>
        </is>
      </c>
    </row>
    <row r="29">
      <c r="A29" s="15" t="inlineStr">
        <is>
          <t>Staking</t>
        </is>
      </c>
    </row>
    <row r="30">
      <c r="A30" s="16" t="inlineStr">
        <is>
          <t>Bankroll (£)</t>
        </is>
      </c>
      <c r="B30" s="19" t="n">
        <v>1000</v>
      </c>
      <c r="C30" s="17" t="inlineStr">
        <is>
          <t>Drives the Stake column on Fixtures.</t>
        </is>
      </c>
    </row>
    <row r="31">
      <c r="A31" s="16" t="inlineStr">
        <is>
          <t>Kelly fraction</t>
        </is>
      </c>
      <c r="B31" s="6" t="n">
        <v>0.25</v>
      </c>
      <c r="C31" s="17" t="inlineStr">
        <is>
          <t>Quarter Kelly. Full Kelly assumes your fair odds are exactly right; they are your own model's, and its edge is not yet measured, so bet a fraction of what Kelly says.</t>
        </is>
      </c>
    </row>
    <row r="32">
      <c r="A32" s="16" t="inlineStr">
        <is>
          <t>Max stake (% of bank)</t>
        </is>
      </c>
      <c r="B32" s="20" t="n">
        <v>0.02</v>
      </c>
      <c r="C32" s="17" t="inlineStr">
        <is>
          <t>Hard cap, so one short-priced line cannot take the bank.</t>
        </is>
      </c>
    </row>
    <row r="35">
      <c r="A35" s="15" t="inlineStr">
        <is>
          <t>How to use</t>
        </is>
      </c>
    </row>
    <row r="36" ht="28" customHeight="1">
      <c r="A36" s="16" t="inlineStr">
        <is>
          <t>Yellow cells</t>
        </is>
      </c>
      <c r="B36" s="21" t="inlineStr">
        <is>
          <t>Your odds, Closing, Corners, Result on Fixtures; bankroll and staking here.</t>
        </is>
      </c>
    </row>
    <row r="37" ht="28" customHeight="1">
      <c r="A37" s="16" t="inlineStr">
        <is>
          <t>EV %</t>
        </is>
      </c>
      <c r="B37" s="21" t="inlineStr">
        <is>
          <t>Your odds / Fair odds - 1. Green above zero, red below.</t>
        </is>
      </c>
    </row>
    <row r="38" ht="28" customHeight="1">
      <c r="A38" s="16" t="inlineStr">
        <is>
          <t>CLV %</t>
        </is>
      </c>
      <c r="B38" s="21" t="inlineStr">
        <is>
          <t>Your odds / Closing - 1. Whether you beat the close.</t>
        </is>
      </c>
    </row>
    <row r="39" ht="28" customHeight="1">
      <c r="A39" s="16" t="inlineStr">
        <is>
          <t>Result</t>
        </is>
      </c>
      <c r="B39" s="21" t="inlineStr">
        <is>
          <t>Pick W, L or V from the dropdown. The row tints green or red.</t>
        </is>
      </c>
    </row>
    <row r="40" ht="28" customHeight="1">
      <c r="A40" s="16" t="inlineStr">
        <is>
          <t>Stake £</t>
        </is>
      </c>
      <c r="B40" s="21" t="inlineStr">
        <is>
          <t>Quarter-Kelly from the EV, capped. Blank when there is no edge.</t>
        </is>
      </c>
    </row>
    <row r="41" ht="28" customHeight="1">
      <c r="A41" s="16" t="inlineStr">
        <is>
          <t>Filters</t>
        </is>
      </c>
      <c r="B41" s="21" t="inlineStr">
        <is>
          <t>Row 1 has filter arrows — narrow by date or league.</t>
        </is>
      </c>
    </row>
    <row r="42" ht="28" customHeight="1">
      <c r="A42" s="16" t="inlineStr">
        <is>
          <t>Example</t>
        </is>
      </c>
      <c r="B42" s="21" t="inlineStr">
        <is>
          <t>Rotherham v Chesterfield: Fair 1.43, type 1.72 into Your odds -&gt; EV shows +20.3%.</t>
        </is>
      </c>
    </row>
    <row r="44">
      <c r="A44" s="15" t="inlineStr">
        <is>
          <t>Carried over from the handwritten pages</t>
        </is>
      </c>
    </row>
    <row r="45" ht="28" customHeight="1">
      <c r="A45" s="16" t="inlineStr">
        <is>
          <t>League Two dates</t>
        </is>
      </c>
      <c r="B45" s="21" t="inlineStr">
        <is>
          <t>Not written on the page — assumed Sat 29 Aug.</t>
        </is>
      </c>
    </row>
    <row r="46" ht="28" customHeight="1">
      <c r="A46" s="16" t="inlineStr">
        <is>
          <t>Five undated fixtures</t>
        </is>
      </c>
      <c r="B46" s="21" t="inlineStr">
        <is>
          <t>Three Serie B, Young Boys v Basel, LASK v Altach — Date left blank.</t>
        </is>
      </c>
    </row>
    <row r="47" ht="28" customHeight="1">
      <c r="A47" s="16" t="inlineStr">
        <is>
          <t>Different-line prices</t>
        </is>
      </c>
      <c r="B47" s="21" t="inlineStr">
        <is>
          <t>Where your market price was for a different line than the fair odds, it sits in Notes, not in Your odds.</t>
        </is>
      </c>
    </row>
    <row r="48" ht="28" customHeight="1">
      <c r="A48" s="16" t="inlineStr">
        <is>
          <t>Fair odds</t>
        </is>
      </c>
      <c r="B48" s="21" t="inlineStr">
        <is>
          <t>Your own figures, copied as written — not recalculated.</t>
        </is>
      </c>
    </row>
    <row r="50">
      <c r="A50" s="15" t="inlineStr">
        <is>
          <t>One thing to watch on UNDER lines</t>
        </is>
      </c>
    </row>
    <row r="51" ht="28" customHeight="1">
      <c r="A51" s="16" t="inlineStr">
        <is>
          <t>Voids</t>
        </is>
      </c>
      <c r="B51" s="21" t="inlineStr">
        <is>
          <t>Your model's published price is already void-adjusted: odds = 1 + lose/win, NOT 1/prob. On an under, landing exactly on the line returns the stake.</t>
        </is>
      </c>
    </row>
    <row r="52" ht="28" customHeight="1">
      <c r="A52" s="16" t="inlineStr">
        <is>
          <t>Why it matters</t>
        </is>
      </c>
      <c r="B52" s="21" t="inlineStr">
        <is>
          <t>Bahia under 7 shows 1.30, but 1/0.692 = 1.45. If you ever compute a fair price from a percentage yourself, use the void-adjusted form or every under is wrong.</t>
        </is>
      </c>
    </row>
    <row r="53" ht="28" customHeight="1">
      <c r="A53" s="16" t="inlineStr">
        <is>
          <t>Here</t>
        </is>
      </c>
      <c r="B53" s="21" t="inlineStr">
        <is>
          <t>Not an issue — Fair odds are copied from the model, which has already done this.</t>
        </is>
      </c>
    </row>
  </sheetData>
  <mergeCells count="14">
    <mergeCell ref="B45:E45"/>
    <mergeCell ref="B40:E40"/>
    <mergeCell ref="B41:E41"/>
    <mergeCell ref="B53:E53"/>
    <mergeCell ref="B52:E52"/>
    <mergeCell ref="B38:E38"/>
    <mergeCell ref="B48:E48"/>
    <mergeCell ref="B39:E39"/>
    <mergeCell ref="B47:E47"/>
    <mergeCell ref="B51:E51"/>
    <mergeCell ref="B37:E37"/>
    <mergeCell ref="B42:E42"/>
    <mergeCell ref="B46:E46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2026-08-30T20:09:52Z</dcterms:created>
  <dcterms:modified xsi:type="dcterms:W3CDTF">2026-09-03T08:20:29Z</dcterms:modified>
</cp:coreProperties>
</file>